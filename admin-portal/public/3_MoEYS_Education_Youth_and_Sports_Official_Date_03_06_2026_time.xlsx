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10" yWindow="-110" windowWidth="22780" windowHeight="13900"/>
  </bookViews>
  <sheets>
    <sheet name="Info" sheetId="80" r:id="rId1"/>
    <sheet name="Table 1" sheetId="51" r:id="rId2"/>
    <sheet name="Table 1(នា អកត)" sheetId="89" r:id="rId3"/>
    <sheet name="Table 2(នា អកត)" sheetId="90" r:id="rId4"/>
    <sheet name="Table 2" sheetId="68" r:id="rId5"/>
    <sheet name="Table 3" sheetId="39" r:id="rId6"/>
    <sheet name="Table 4 (New)" sheetId="85" r:id="rId7"/>
    <sheet name="Table 4" sheetId="69" r:id="rId8"/>
    <sheet name="Table 5" sheetId="70" r:id="rId9"/>
    <sheet name="Table 6" sheetId="52" r:id="rId10"/>
    <sheet name="Table 7 (មត្តេយ្យសិក្សា)" sheetId="88" r:id="rId11"/>
    <sheet name="Table 7" sheetId="71" r:id="rId12"/>
    <sheet name="Table 8" sheetId="72" r:id="rId13"/>
    <sheet name="Table 9" sheetId="53" r:id="rId14"/>
    <sheet name="Table 10" sheetId="73" r:id="rId15"/>
    <sheet name="Table 11" sheetId="54" r:id="rId16"/>
    <sheet name="Table 12" sheetId="55" r:id="rId17"/>
    <sheet name="Table 13" sheetId="57" r:id="rId18"/>
    <sheet name="Table 14- " sheetId="82" r:id="rId19"/>
    <sheet name="Table 15_នា.គឧស" sheetId="74" r:id="rId20"/>
    <sheet name="Table 16_នា.គឧស" sheetId="75" r:id="rId21"/>
    <sheet name="Table 17_នា.គឧស" sheetId="76" r:id="rId22"/>
    <sheet name="Table 18.1_នា.គឧស" sheetId="77" r:id="rId23"/>
    <sheet name="Table 18.2_នា.គឧស" sheetId="86" r:id="rId24"/>
    <sheet name="Table 19.1_នា.គឧស" sheetId="84" r:id="rId25"/>
    <sheet name="Table 19.2_នា.គឧស" sheetId="87" r:id="rId26"/>
    <sheet name="Table 20" sheetId="78" r:id="rId27"/>
    <sheet name="Table 21" sheetId="79" r:id="rId28"/>
    <sheet name="Table 22_កីឡា" sheetId="92" r:id="rId29"/>
    <sheet name="Table 23A ក្រុមប្រឹក្សា" sheetId="94" r:id="rId30"/>
    <sheet name="Table 23B កាយរឹទ្ធិ" sheetId="95" r:id="rId31"/>
    <sheet name="Table 24(NFM)" sheetId="91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#N/A</definedName>
    <definedName name="\F">#N/A</definedName>
    <definedName name="\M" localSheetId="28">[1]EXTF!#REF!</definedName>
    <definedName name="\M" localSheetId="6">[1]EXTF!#REF!</definedName>
    <definedName name="\M" localSheetId="10">[1]EXTF!#REF!</definedName>
    <definedName name="\M">[1]EXTF!#REF!</definedName>
    <definedName name="\S">#N/A</definedName>
    <definedName name="_Fill" hidden="1">#N/A</definedName>
    <definedName name="ACTIVATE">#N/A</definedName>
    <definedName name="BOL_BS">#N/A</definedName>
    <definedName name="BOP_print">#N/A</definedName>
    <definedName name="COUNTER">#N/A</definedName>
    <definedName name="Credit">'[2]FC Credit'!$A$1</definedName>
    <definedName name="dates">#N/A</definedName>
    <definedName name="debt">#N/A</definedName>
    <definedName name="Discount_IDA">#N/A</definedName>
    <definedName name="Discount_NC">#N/A</definedName>
    <definedName name="DiscountRate">#N/A</definedName>
    <definedName name="DMB">#N/A</definedName>
    <definedName name="DMBINPUT">#N/A</definedName>
    <definedName name="EXR">#N/A</definedName>
    <definedName name="gdpdates" localSheetId="28">[3]contents!#REF!</definedName>
    <definedName name="gdpdates" localSheetId="6">[3]contents!#REF!</definedName>
    <definedName name="gdpdates">[3]contents!#REF!</definedName>
    <definedName name="gdpnames" localSheetId="28">[3]contents!#REF!</definedName>
    <definedName name="gdpnames" localSheetId="6">[3]contents!#REF!</definedName>
    <definedName name="gdpnames">[3]contents!#REF!</definedName>
    <definedName name="Grace_IDA">#N/A</definedName>
    <definedName name="Grace_NC">#N/A</definedName>
    <definedName name="hkhk" localSheetId="24">[4]contents!#REF!</definedName>
    <definedName name="hkhk" localSheetId="25">[4]contents!#REF!</definedName>
    <definedName name="hkhk" localSheetId="28">[4]contents!#REF!</definedName>
    <definedName name="hkhk" localSheetId="6">[5]contents!#REF!</definedName>
    <definedName name="hkhk">[5]contents!#REF!</definedName>
    <definedName name="IMF_payments">#N/A</definedName>
    <definedName name="Income">#N/A</definedName>
    <definedName name="Indicators">#N/A</definedName>
    <definedName name="Interest_IDA">#N/A</definedName>
    <definedName name="Interest_NC">#N/A</definedName>
    <definedName name="InterestRate">#N/A</definedName>
    <definedName name="kim" localSheetId="24">'[6]Input from other files'!#REF!</definedName>
    <definedName name="kim" localSheetId="25">'[6]Input from other files'!#REF!</definedName>
    <definedName name="kim" localSheetId="28">'[6]Input from other files'!#REF!</definedName>
    <definedName name="kim" localSheetId="6">'[7]Input from other files'!#REF!</definedName>
    <definedName name="kim">'[7]Input from other files'!#REF!</definedName>
    <definedName name="Links" localSheetId="28">'[8]Input from other files'!#REF!</definedName>
    <definedName name="Links" localSheetId="6">'[8]Input from other files'!#REF!</definedName>
    <definedName name="Links">'[8]Input from other files'!#REF!</definedName>
    <definedName name="MACRO">#N/A</definedName>
    <definedName name="Maturity_IDA">#N/A</definedName>
    <definedName name="Maturity_NC">#N/A</definedName>
    <definedName name="MIDDLE">#N/A</definedName>
    <definedName name="mondatea">#N/A</definedName>
    <definedName name="mondatem">#N/A</definedName>
    <definedName name="mondateq">#N/A</definedName>
    <definedName name="monnames">#N/A</definedName>
    <definedName name="MONTABLE">#N/A</definedName>
    <definedName name="names">#N/A</definedName>
    <definedName name="NBC">#N/A</definedName>
    <definedName name="NBCINPUT">#N/A</definedName>
    <definedName name="NDALINK">#N/A</definedName>
    <definedName name="NOTE">#N/A</definedName>
    <definedName name="OBI_BS">#N/A</definedName>
    <definedName name="Output_table">#N/A</definedName>
    <definedName name="Performance">#N/A</definedName>
    <definedName name="print">#N/A</definedName>
    <definedName name="print_summary">#N/A</definedName>
    <definedName name="Production" localSheetId="28">'[9]Input (by sector)'!#REF!</definedName>
    <definedName name="Production" localSheetId="6">'[9]Input (by sector)'!#REF!</definedName>
    <definedName name="Production">'[9]Input (by sector)'!#REF!</definedName>
    <definedName name="QUI" localSheetId="28">'[2]MS (long)'!#REF!</definedName>
    <definedName name="QUI" localSheetId="6">'[2]MS (long)'!#REF!</definedName>
    <definedName name="QUI">'[2]MS (long)'!#REF!</definedName>
    <definedName name="Rev" localSheetId="28">[10]Rev!#REF!</definedName>
    <definedName name="Rev" localSheetId="6">[10]Rev!#REF!</definedName>
    <definedName name="Rev">[10]Rev!#REF!</definedName>
    <definedName name="RFM">#N/A</definedName>
    <definedName name="RGDP">#N/A</definedName>
    <definedName name="September">[2]Projection!$L$4,[2]Projection!$O$1:$O$65536</definedName>
    <definedName name="sheet2" localSheetId="24">'[11]Input (by sector)'!#REF!</definedName>
    <definedName name="sheet2" localSheetId="25">'[11]Input (by sector)'!#REF!</definedName>
    <definedName name="sheet2" localSheetId="28">'[11]Input (by sector)'!#REF!</definedName>
    <definedName name="sheet2" localSheetId="6">'[12]Input (by sector)'!#REF!</definedName>
    <definedName name="sheet2" localSheetId="10">'[12]Input (by sector)'!#REF!</definedName>
    <definedName name="sheet2">'[12]Input (by sector)'!#REF!</definedName>
    <definedName name="STOP">#N/A</definedName>
    <definedName name="Sum">#N/A</definedName>
    <definedName name="SUMMARY">#N/A</definedName>
    <definedName name="SURVEY1">#N/A</definedName>
    <definedName name="SURVEY2">#N/A</definedName>
    <definedName name="Table">#N/A</definedName>
    <definedName name="VAdj">#N/A</definedName>
    <definedName name="XGS">#N/A</definedName>
    <definedName name="Year">#N/A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89" l="1"/>
  <c r="F10" i="89"/>
  <c r="O34" i="90" l="1"/>
  <c r="H34" i="90"/>
  <c r="O33" i="90"/>
  <c r="H33" i="90"/>
  <c r="O32" i="90"/>
  <c r="H32" i="90"/>
  <c r="O31" i="90"/>
  <c r="H31" i="90"/>
  <c r="O30" i="90"/>
  <c r="H30" i="90"/>
  <c r="O29" i="90"/>
  <c r="H29" i="90"/>
  <c r="O28" i="90"/>
  <c r="H28" i="90"/>
  <c r="O27" i="90"/>
  <c r="H27" i="90"/>
  <c r="O26" i="90"/>
  <c r="H26" i="90"/>
  <c r="O25" i="90"/>
  <c r="H25" i="90"/>
  <c r="O24" i="90"/>
  <c r="H24" i="90"/>
  <c r="O23" i="90"/>
  <c r="H23" i="90"/>
  <c r="O22" i="90"/>
  <c r="H22" i="90"/>
  <c r="O21" i="90"/>
  <c r="H21" i="90"/>
  <c r="O20" i="90"/>
  <c r="H20" i="90"/>
  <c r="O19" i="90"/>
  <c r="H19" i="90"/>
  <c r="O18" i="90"/>
  <c r="H18" i="90"/>
  <c r="O17" i="90"/>
  <c r="H17" i="90"/>
  <c r="O16" i="90"/>
  <c r="H16" i="90"/>
  <c r="O15" i="90"/>
  <c r="H15" i="90"/>
  <c r="O14" i="90"/>
  <c r="H14" i="90"/>
  <c r="O13" i="90"/>
  <c r="H13" i="90"/>
  <c r="O12" i="90"/>
  <c r="H12" i="90"/>
  <c r="O11" i="90"/>
  <c r="H11" i="90"/>
  <c r="O10" i="90"/>
  <c r="H10" i="90"/>
  <c r="O9" i="90"/>
  <c r="H9" i="90"/>
  <c r="O8" i="90"/>
  <c r="H8" i="90"/>
  <c r="O7" i="90"/>
  <c r="H7" i="90"/>
  <c r="O6" i="90"/>
  <c r="H6" i="90"/>
  <c r="K38" i="89"/>
  <c r="F38" i="89"/>
  <c r="K37" i="89"/>
  <c r="F37" i="89"/>
  <c r="K36" i="89"/>
  <c r="F36" i="89"/>
  <c r="K35" i="89"/>
  <c r="F35" i="89"/>
  <c r="K34" i="89"/>
  <c r="F34" i="89"/>
  <c r="K33" i="89"/>
  <c r="F33" i="89"/>
  <c r="K32" i="89"/>
  <c r="F32" i="89"/>
  <c r="K31" i="89"/>
  <c r="F31" i="89"/>
  <c r="K30" i="89"/>
  <c r="F30" i="89"/>
  <c r="K29" i="89"/>
  <c r="F29" i="89"/>
  <c r="K28" i="89"/>
  <c r="F28" i="89"/>
  <c r="K27" i="89"/>
  <c r="F27" i="89"/>
  <c r="K26" i="89"/>
  <c r="F26" i="89"/>
  <c r="K25" i="89"/>
  <c r="F25" i="89"/>
  <c r="K24" i="89"/>
  <c r="F24" i="89"/>
  <c r="K23" i="89"/>
  <c r="F23" i="89"/>
  <c r="K22" i="89"/>
  <c r="F22" i="89"/>
  <c r="K21" i="89"/>
  <c r="F21" i="89"/>
  <c r="K20" i="89"/>
  <c r="F20" i="89"/>
  <c r="K19" i="89"/>
  <c r="F19" i="89"/>
  <c r="K18" i="89"/>
  <c r="F18" i="89"/>
  <c r="K17" i="89"/>
  <c r="F17" i="89"/>
  <c r="K16" i="89"/>
  <c r="F16" i="89"/>
  <c r="K15" i="89"/>
  <c r="F15" i="89"/>
  <c r="K14" i="89"/>
  <c r="F14" i="89"/>
  <c r="K13" i="89"/>
  <c r="F13" i="89"/>
  <c r="K12" i="89"/>
  <c r="F12" i="89"/>
  <c r="K11" i="89"/>
  <c r="F11" i="89"/>
  <c r="N9" i="89"/>
  <c r="M9" i="89"/>
  <c r="L61" i="82" l="1"/>
  <c r="L60" i="82"/>
  <c r="L59" i="82"/>
  <c r="L58" i="82"/>
  <c r="L57" i="82"/>
  <c r="L56" i="82"/>
  <c r="L55" i="82"/>
  <c r="L54" i="82"/>
  <c r="L53" i="82"/>
  <c r="L52" i="82"/>
  <c r="L51" i="82"/>
  <c r="L50" i="82"/>
  <c r="L49" i="82"/>
  <c r="L48" i="82"/>
  <c r="L47" i="82"/>
  <c r="L46" i="82"/>
  <c r="N9" i="51" l="1"/>
  <c r="M9" i="51"/>
  <c r="O7" i="68"/>
  <c r="P9" i="78" l="1"/>
  <c r="P8" i="78" s="1"/>
  <c r="O34" i="68"/>
  <c r="H34" i="68"/>
  <c r="O33" i="68"/>
  <c r="H33" i="68"/>
  <c r="O32" i="68"/>
  <c r="H32" i="68"/>
  <c r="O31" i="68"/>
  <c r="H31" i="68"/>
  <c r="O30" i="68"/>
  <c r="H30" i="68"/>
  <c r="O29" i="68"/>
  <c r="H29" i="68"/>
  <c r="O28" i="68"/>
  <c r="H28" i="68"/>
  <c r="O27" i="68"/>
  <c r="H27" i="68"/>
  <c r="O26" i="68"/>
  <c r="H26" i="68"/>
  <c r="O25" i="68"/>
  <c r="H25" i="68"/>
  <c r="O24" i="68"/>
  <c r="H24" i="68"/>
  <c r="O23" i="68"/>
  <c r="H23" i="68"/>
  <c r="O22" i="68"/>
  <c r="H22" i="68"/>
  <c r="O21" i="68"/>
  <c r="H21" i="68"/>
  <c r="O20" i="68"/>
  <c r="H20" i="68"/>
  <c r="O19" i="68"/>
  <c r="H19" i="68"/>
  <c r="O18" i="68"/>
  <c r="H18" i="68"/>
  <c r="O17" i="68"/>
  <c r="H17" i="68"/>
  <c r="O16" i="68"/>
  <c r="H16" i="68"/>
  <c r="O15" i="68"/>
  <c r="H15" i="68"/>
  <c r="O14" i="68"/>
  <c r="H14" i="68"/>
  <c r="O13" i="68"/>
  <c r="H13" i="68"/>
  <c r="O12" i="68"/>
  <c r="H12" i="68"/>
  <c r="O11" i="68"/>
  <c r="H11" i="68"/>
  <c r="O10" i="68"/>
  <c r="H10" i="68"/>
  <c r="O9" i="68"/>
  <c r="H9" i="68"/>
  <c r="O8" i="68"/>
  <c r="H8" i="68"/>
  <c r="H7" i="68"/>
  <c r="O6" i="68"/>
  <c r="H6" i="68"/>
  <c r="G36" i="57"/>
  <c r="H36" i="57"/>
  <c r="I36" i="57"/>
  <c r="J36" i="57"/>
  <c r="K36" i="57"/>
  <c r="L36" i="57"/>
  <c r="M36" i="57"/>
  <c r="N36" i="57"/>
  <c r="O36" i="57"/>
  <c r="P36" i="57"/>
  <c r="Q36" i="57"/>
  <c r="G37" i="57"/>
  <c r="H37" i="57"/>
  <c r="I37" i="57"/>
  <c r="J37" i="57"/>
  <c r="K37" i="57"/>
  <c r="L37" i="57"/>
  <c r="M37" i="57"/>
  <c r="N37" i="57"/>
  <c r="O37" i="57"/>
  <c r="P37" i="57"/>
  <c r="Q37" i="57"/>
  <c r="G38" i="57"/>
  <c r="H38" i="57"/>
  <c r="I38" i="57"/>
  <c r="J38" i="57"/>
  <c r="K38" i="57"/>
  <c r="L38" i="57"/>
  <c r="M38" i="57"/>
  <c r="N38" i="57"/>
  <c r="O38" i="57"/>
  <c r="P38" i="57"/>
  <c r="Q38" i="57"/>
  <c r="G39" i="57"/>
  <c r="H39" i="57"/>
  <c r="I39" i="57"/>
  <c r="J39" i="57"/>
  <c r="K39" i="57"/>
  <c r="L39" i="57"/>
  <c r="M39" i="57"/>
  <c r="N39" i="57"/>
  <c r="O39" i="57"/>
  <c r="P39" i="57"/>
  <c r="Q39" i="57"/>
  <c r="G40" i="57"/>
  <c r="H40" i="57"/>
  <c r="I40" i="57"/>
  <c r="J40" i="57"/>
  <c r="K40" i="57"/>
  <c r="L40" i="57"/>
  <c r="M40" i="57"/>
  <c r="N40" i="57"/>
  <c r="O40" i="57"/>
  <c r="P40" i="57"/>
  <c r="Q40" i="57"/>
  <c r="G41" i="57"/>
  <c r="H41" i="57"/>
  <c r="I41" i="57"/>
  <c r="J41" i="57"/>
  <c r="K41" i="57"/>
  <c r="L41" i="57"/>
  <c r="M41" i="57"/>
  <c r="N41" i="57"/>
  <c r="O41" i="57"/>
  <c r="P41" i="57"/>
  <c r="Q41" i="57"/>
  <c r="G42" i="57"/>
  <c r="H42" i="57"/>
  <c r="I42" i="57"/>
  <c r="J42" i="57"/>
  <c r="K42" i="57"/>
  <c r="L42" i="57"/>
  <c r="M42" i="57"/>
  <c r="N42" i="57"/>
  <c r="O42" i="57"/>
  <c r="P42" i="57"/>
  <c r="Q42" i="57"/>
  <c r="G43" i="57"/>
  <c r="H43" i="57"/>
  <c r="I43" i="57"/>
  <c r="J43" i="57"/>
  <c r="K43" i="57"/>
  <c r="L43" i="57"/>
  <c r="M43" i="57"/>
  <c r="N43" i="57"/>
  <c r="O43" i="57"/>
  <c r="P43" i="57"/>
  <c r="Q43" i="57"/>
  <c r="G44" i="57"/>
  <c r="H44" i="57"/>
  <c r="I44" i="57"/>
  <c r="J44" i="57"/>
  <c r="K44" i="57"/>
  <c r="L44" i="57"/>
  <c r="M44" i="57"/>
  <c r="N44" i="57"/>
  <c r="O44" i="57"/>
  <c r="P44" i="57"/>
  <c r="Q44" i="57"/>
  <c r="G45" i="57"/>
  <c r="H45" i="57"/>
  <c r="I45" i="57"/>
  <c r="J45" i="57"/>
  <c r="K45" i="57"/>
  <c r="L45" i="57"/>
  <c r="M45" i="57"/>
  <c r="N45" i="57"/>
  <c r="O45" i="57"/>
  <c r="P45" i="57"/>
  <c r="Q45" i="57"/>
  <c r="G46" i="57"/>
  <c r="H46" i="57"/>
  <c r="I46" i="57"/>
  <c r="J46" i="57"/>
  <c r="K46" i="57"/>
  <c r="L46" i="57"/>
  <c r="M46" i="57"/>
  <c r="N46" i="57"/>
  <c r="O46" i="57"/>
  <c r="P46" i="57"/>
  <c r="Q46" i="57"/>
  <c r="F37" i="57"/>
  <c r="F38" i="57"/>
  <c r="F39" i="57"/>
  <c r="F40" i="57"/>
  <c r="F41" i="57"/>
  <c r="F42" i="57"/>
  <c r="F43" i="57"/>
  <c r="F44" i="57"/>
  <c r="F45" i="57"/>
  <c r="F46" i="57"/>
  <c r="F36" i="57"/>
  <c r="K11" i="51"/>
  <c r="K12" i="51"/>
  <c r="K13" i="51"/>
  <c r="K14" i="51"/>
  <c r="K15" i="51"/>
  <c r="K16" i="51"/>
  <c r="K17" i="51"/>
  <c r="K18" i="51"/>
  <c r="K19" i="51"/>
  <c r="K20" i="51"/>
  <c r="K21" i="51"/>
  <c r="K22" i="51"/>
  <c r="K23" i="51"/>
  <c r="K24" i="51"/>
  <c r="K25" i="51"/>
  <c r="K26" i="51"/>
  <c r="K27" i="51"/>
  <c r="K28" i="51"/>
  <c r="K29" i="51"/>
  <c r="K30" i="51"/>
  <c r="K31" i="51"/>
  <c r="K32" i="51"/>
  <c r="K33" i="51"/>
  <c r="K34" i="51"/>
  <c r="K35" i="51"/>
  <c r="K36" i="51"/>
  <c r="K37" i="51"/>
  <c r="K38" i="51"/>
  <c r="K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F29" i="51"/>
  <c r="F30" i="51"/>
  <c r="F31" i="51"/>
  <c r="F32" i="51"/>
  <c r="F33" i="51"/>
  <c r="F34" i="51"/>
  <c r="F35" i="51"/>
  <c r="F36" i="51"/>
  <c r="F37" i="51"/>
  <c r="F38" i="51"/>
  <c r="F10" i="51"/>
</calcChain>
</file>

<file path=xl/comments1.xml><?xml version="1.0" encoding="utf-8"?>
<comments xmlns="http://schemas.openxmlformats.org/spreadsheetml/2006/main">
  <authors>
    <author>USER</author>
  </authors>
  <commentList>
    <comment ref="G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ថ្នាក់គួរញែក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ថ្នាក់គួរញែក</t>
        </r>
      </text>
    </comment>
  </commentList>
</comments>
</file>

<file path=xl/sharedStrings.xml><?xml version="1.0" encoding="utf-8"?>
<sst xmlns="http://schemas.openxmlformats.org/spreadsheetml/2006/main" count="1532" uniqueCount="510">
  <si>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</si>
  <si>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</si>
  <si>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</si>
  <si>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</si>
  <si>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</si>
  <si>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</si>
  <si>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</si>
  <si>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</si>
  <si>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</si>
  <si>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</si>
  <si>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</si>
  <si>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</si>
  <si>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</si>
  <si>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</si>
  <si>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</si>
  <si>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</si>
  <si>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</si>
  <si>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</si>
  <si>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</si>
  <si>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</si>
  <si>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1979-80</t>
  </si>
  <si>
    <t>-</t>
  </si>
  <si>
    <t>2000-01</t>
  </si>
  <si>
    <t>2001-02</t>
  </si>
  <si>
    <t>Phnom Penh</t>
  </si>
  <si>
    <t>Kampong Cham</t>
  </si>
  <si>
    <t>Kampong Chhnang</t>
  </si>
  <si>
    <t>Kandal</t>
  </si>
  <si>
    <t>Svay Rieng</t>
  </si>
  <si>
    <t>2002-03</t>
  </si>
  <si>
    <t>2003-04</t>
  </si>
  <si>
    <t>Takeo</t>
  </si>
  <si>
    <t>Banteay Meanchey</t>
  </si>
  <si>
    <t>Battambang</t>
  </si>
  <si>
    <t>Kampong Speu</t>
  </si>
  <si>
    <t>2004-05</t>
  </si>
  <si>
    <t>2005-06</t>
  </si>
  <si>
    <t>Mondul Kiri</t>
  </si>
  <si>
    <t>Preah Vihear</t>
  </si>
  <si>
    <t>Prey Veng</t>
  </si>
  <si>
    <t>Ratanak Kiri</t>
  </si>
  <si>
    <t>Stung Treng</t>
  </si>
  <si>
    <t>Koh Kong</t>
  </si>
  <si>
    <t>Kratie</t>
  </si>
  <si>
    <t>Pursat</t>
  </si>
  <si>
    <t>Sihanoukville</t>
  </si>
  <si>
    <t>Kep</t>
  </si>
  <si>
    <t>Pailin</t>
  </si>
  <si>
    <t>Kampong Thom</t>
  </si>
  <si>
    <t>n.a</t>
  </si>
  <si>
    <t>2006-07</t>
  </si>
  <si>
    <t>2007-08</t>
  </si>
  <si>
    <t>Kampot</t>
  </si>
  <si>
    <t>Otdar Meanchey</t>
  </si>
  <si>
    <t>Siemreap</t>
  </si>
  <si>
    <t>Source: Department of Planning, Ministry of Education Youth and Sports.</t>
  </si>
  <si>
    <t xml:space="preserve">Note: Urban, rural and remote area here, which school is in the urban, rural or remote area is determinded </t>
  </si>
  <si>
    <t xml:space="preserve">by the respective District Education Office (DEO) and or Provincial Education Service (PES). </t>
  </si>
  <si>
    <t xml:space="preserve">Usually however, school located in large towns or cities are classified as urban schools whereas, those located in isolated areas where </t>
  </si>
  <si>
    <t>communication with and transportation to the schools are difficult are grouped into remote school. The rest are rural schools. Within this given</t>
  </si>
  <si>
    <t xml:space="preserve"> context, the urban area comprise of four municiplities of Phnom Penh, Kep, Sihanoukville, Pailin and all provincial towns. Wwhere the population</t>
  </si>
  <si>
    <t xml:space="preserve"> density of an area is less than 10 people (&lt;10 person/km2), the area is termed remote. The rest fall under rural.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</si>
  <si>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</si>
  <si>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</si>
  <si>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</si>
  <si>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</si>
  <si>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</si>
  <si>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</si>
  <si>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</si>
  <si>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</si>
  <si>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</si>
  <si>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</si>
  <si>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</si>
  <si>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</si>
  <si>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</si>
  <si>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</si>
  <si>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</si>
  <si>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</si>
  <si>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ឆ្នាំសិក្សា</t>
  </si>
  <si>
    <t>មតេយ្យ</t>
  </si>
  <si>
    <t>បឋម</t>
  </si>
  <si>
    <t>អនុវិទ្យាល័យ</t>
  </si>
  <si>
    <t>វិទ្យាល័យ</t>
  </si>
  <si>
    <t>សរុប</t>
  </si>
  <si>
    <t>អនុ
វិទ្យាល័យ</t>
  </si>
  <si>
    <t>សិស្ស</t>
  </si>
  <si>
    <t xml:space="preserve">បុគ្គលិកអប់រំ </t>
  </si>
  <si>
    <t>សាលារៀន</t>
  </si>
  <si>
    <t>ថ្នាក់រៀន</t>
  </si>
  <si>
    <t>តារាងទី ២៖. ចំនួនសិស្ស និងបុគ្គលិកអប់រំ ក្នុងប្រព័ន្ធអប់រំចំណេះទូទៅ តាមឆ្នាំសិក្សា ១៩៨០ ដល់ ២០៣-២៤</t>
  </si>
  <si>
    <t>រាជធានី ខេត្ត</t>
  </si>
  <si>
    <t>បន្ទាយមានជ័យ</t>
  </si>
  <si>
    <t>បាត់ដំបង</t>
  </si>
  <si>
    <t>កំពង់ចាម</t>
  </si>
  <si>
    <t>កំពង់ឆ្នាំង</t>
  </si>
  <si>
    <t>កំពង់ស្ពឺ</t>
  </si>
  <si>
    <t>កំពង់ធំ</t>
  </si>
  <si>
    <t>កំពត</t>
  </si>
  <si>
    <t>កណ្តាល</t>
  </si>
  <si>
    <t>កោះកុង</t>
  </si>
  <si>
    <t>ក្រចេះ</t>
  </si>
  <si>
    <t>មណ្ឌលគីរី</t>
  </si>
  <si>
    <t>ភ្នំពេញ</t>
  </si>
  <si>
    <t>ព្រះវិហារ</t>
  </si>
  <si>
    <t>ព្រៃវែង</t>
  </si>
  <si>
    <t>ពោធិសាត់</t>
  </si>
  <si>
    <t>រតនៈគីរី</t>
  </si>
  <si>
    <t>សៀមរាប</t>
  </si>
  <si>
    <t>ព្រះសីហនុ</t>
  </si>
  <si>
    <t>ស្ទឹងត្រែង</t>
  </si>
  <si>
    <t>ស្វាយរៀង</t>
  </si>
  <si>
    <t>តាកែវ</t>
  </si>
  <si>
    <t>ឧត្តរមានជ័យ</t>
  </si>
  <si>
    <t>កែប</t>
  </si>
  <si>
    <t>ប៉ែលិន</t>
  </si>
  <si>
    <t>ត្បូងឃ្មុំ</t>
  </si>
  <si>
    <t>តំបន់ទីប្រជុំជន</t>
  </si>
  <si>
    <t>តំបន់ជនបទ</t>
  </si>
  <si>
    <t>តំបន់ដាច់ស្រយាល</t>
  </si>
  <si>
    <t>តារាងទី ៣. ចំនួនសាលារៀន ក្នុងប្រព័ន្ធអប់រំចំណេះទូទៅ តាមរាជធានី ខេត្ត និងឆ្នាំសិក្សា 1998 ដល់ 2024</t>
  </si>
  <si>
    <t>តារាងទី ៤. ចំនួនសាលារៀនបឋមសិក្សា ក្នុងប្រព័ន្ធអប់រំចំណេះទូទៅ តាមរាជធានី ខេត្ត និងឆ្នាំសិក្សា 1998 ដល់ 2024</t>
  </si>
  <si>
    <t>តារាងទី ៥. ចំនួនសាលារៀនមធ្យមសិក្សា ក្នុងប្រព័ន្ធអប់រំចំណេះទូទៅ តាមរាជធានី ខេត្ត និងឆ្នាំសិក្សា 1998 ដល់ 2024</t>
  </si>
  <si>
    <t>តារាងទី ៦. ចំនួនថ្នាក់រៀន ក្នុងប្រព័ន្ធអប់រំចំណេះទូទៅ តាមរាជធានី ខេត្ត និងឆ្នាំសិក្សា 1998 ដល់ 2024</t>
  </si>
  <si>
    <t>តារាងទី ៧. ចំនួនថ្នាក់រៀនបឋមសិក្សា ក្នុងប្រព័ន្ធអប់រំចំណេះទូទៅ តាមរាជធានី ខេត្ត និងឆ្នាំសិក្សា 1998 ដល់ 2024</t>
  </si>
  <si>
    <t>តារាងទី ៨. ចំនួនថ្នាក់រៀនមធ្យមសិក្សា ក្នុងប្រព័ន្ធអប់រំចំណេះទូទៅ តាមរាជធានី ខេត្ត និងឆ្នាំសិក្សា 1998 ដល់ 2024</t>
  </si>
  <si>
    <t>តារាងទី ៩. ចំនួនបុគ្គលិកសិក្សា ក្នុងប្រព័ន្ធអប់រំចំណេះទូទៅ តាមរាជធានី ខេត្ត និងឆ្នាំសិក្សា 1998 ដល់ 2024</t>
  </si>
  <si>
    <t>ទាំងពីរភេទ</t>
  </si>
  <si>
    <t>ស្រី</t>
  </si>
  <si>
    <t>តារាងទី ១០. ចំនួនគ្រូបង្រៀន ក្នុងប្រព័ន្ធអប់រំចំណេះទូទៅ តាមរាជធានី ខេត្ត និងឆ្នាំសិក្សា 1998 ដល់ 2024</t>
  </si>
  <si>
    <t>ប្រុស</t>
  </si>
  <si>
    <t>តារាងទី ១៣. ចំនួនសិស្សចុះឈ្មោះចូលរៀនតាមកម្រិតថ្នាក់ និងភេទ ក្នុងប្រព័ន្ធអប់រំចំណេះទូទៅ ឆ្នាំសិក្សា 1998 ដល់ 2024</t>
  </si>
  <si>
    <t>តារាងទី ១២. ចំនួនសិស្សចុះឈ្មោះចូលរៀនតាមកម្រិតសិក្សា ក្នុងប្រព័ន្ធអប់រំចំណេះទូទៅ ឆ្នាំសិក្សា 1998 ដល់ 2024</t>
  </si>
  <si>
    <t>បឋមសិក្សា</t>
  </si>
  <si>
    <t>ថ្នាក់ទី ១</t>
  </si>
  <si>
    <t>ថ្នាក់ទី ២</t>
  </si>
  <si>
    <t>ថ្នាក់ទី ៣</t>
  </si>
  <si>
    <t>ថ្នាក់ទី ៤</t>
  </si>
  <si>
    <t>ថ្នាក់ទី ៥</t>
  </si>
  <si>
    <t>ថ្នាក់ទី ៦</t>
  </si>
  <si>
    <t>ថ្នាក់ទី ៧</t>
  </si>
  <si>
    <t>ថ្នាក់ទី ៨</t>
  </si>
  <si>
    <t>ថ្នាក់ទី ៩</t>
  </si>
  <si>
    <t>ថ្នាក់ទី ១០</t>
  </si>
  <si>
    <t>ថ្នាក់ទី ១១</t>
  </si>
  <si>
    <t>ថ្នាក់ទី ១២</t>
  </si>
  <si>
    <t>រដ្ឋ</t>
  </si>
  <si>
    <t>ឯកជន</t>
  </si>
  <si>
    <t>ចំនួន
គ្រូបង្រៀន</t>
  </si>
  <si>
    <t>តម្លៃសិក្សា
មធ្យម/ឆ្នាំ
(ដុល្លារ)</t>
  </si>
  <si>
    <t>ឈ្មោះគ្រឹស្ថាន</t>
  </si>
  <si>
    <t>គ្រឹះស្ថានឯកជន</t>
  </si>
  <si>
    <t>គ្រឹះស្ថានរដ្ឋ</t>
  </si>
  <si>
    <t>ជំពូក</t>
  </si>
  <si>
    <t>គណនី</t>
  </si>
  <si>
    <t>អនុគណនី</t>
  </si>
  <si>
    <t>បរិយាយ</t>
  </si>
  <si>
    <t>ច្បាប់ហិរញ្ញវត្ថុ</t>
  </si>
  <si>
    <t>ចលនាឥណទាន</t>
  </si>
  <si>
    <t>ស្ថានភាពឥណទានថ្មី</t>
  </si>
  <si>
    <t>អនុវត្តជាក់ស្ដែង</t>
  </si>
  <si>
    <t>ឥណទាននៅសល់</t>
  </si>
  <si>
    <t>សមាមាត្រ %</t>
  </si>
  <si>
    <t>បង់ សំណេស ចំណាយ</t>
  </si>
  <si>
    <t>កើន</t>
  </si>
  <si>
    <t>ថយ</t>
  </si>
  <si>
    <t>ចលនាផ្ទៃក្នុង</t>
  </si>
  <si>
    <t>ឥណទាន
មិនបានគ្រោងទុក</t>
  </si>
  <si>
    <t>បំពេញបន្ថែម</t>
  </si>
  <si>
    <t/>
  </si>
  <si>
    <t>1</t>
  </si>
  <si>
    <t>2</t>
  </si>
  <si>
    <t>3</t>
  </si>
  <si>
    <t>4</t>
  </si>
  <si>
    <t>5 = 2+3+4</t>
  </si>
  <si>
    <t>6</t>
  </si>
  <si>
    <t>7 = 1+5-6</t>
  </si>
  <si>
    <t>8</t>
  </si>
  <si>
    <t>9 = 7-8</t>
  </si>
  <si>
    <t>10 = 8/7 %</t>
  </si>
  <si>
    <t>11</t>
  </si>
  <si>
    <t>សរុបរួមចំណាយថវិកា (ប្រ១+ប្រ២+ប្រ៣+ប្រ៤)</t>
  </si>
  <si>
    <t>ប្រភេទទី១: មធ្យោបាយនិងសេវា</t>
  </si>
  <si>
    <t>60</t>
  </si>
  <si>
    <t>ការទិញ</t>
  </si>
  <si>
    <t>6001</t>
  </si>
  <si>
    <t>សម្ភារផ្គត់ផ្គង់ថែទាំ</t>
  </si>
  <si>
    <t>60011</t>
  </si>
  <si>
    <t>សម្ភារផ្គត់ផ្គង់សម្អាត និងអនាម័យ</t>
  </si>
  <si>
    <t>60012</t>
  </si>
  <si>
    <t>សម្ភារផ្គត់ផ្គង់សម្រាប់ថែទាំអគារ ប្រាសាទ និងសំណង់ផ្សេងៗ</t>
  </si>
  <si>
    <t>60014</t>
  </si>
  <si>
    <t>សម្ភារផ្គត់ផ្គង់សម្រាប់ថែទាំសម្ភារឧបករណ៍</t>
  </si>
  <si>
    <t>60015</t>
  </si>
  <si>
    <t>ប្រេងឥន្ធនៈ និងប្រេងរំអិល</t>
  </si>
  <si>
    <t>6002</t>
  </si>
  <si>
    <t>សម្ភារផ្គត់ផ្គង់ផ្នែករដ្ឋបាល</t>
  </si>
  <si>
    <t>60021</t>
  </si>
  <si>
    <t>សម្ភារការិយាល័យ</t>
  </si>
  <si>
    <t>60028</t>
  </si>
  <si>
    <t>សម្ភារផ្គត់ផ្គង់ផ្នែករដ្ឋបាលផ្សេងៗ</t>
  </si>
  <si>
    <t>6003</t>
  </si>
  <si>
    <t>ស្បៀងអាហារ និងផលិតផលកសិកម្ម</t>
  </si>
  <si>
    <t>60032</t>
  </si>
  <si>
    <t>ចំណីសត្វ</t>
  </si>
  <si>
    <t>60033</t>
  </si>
  <si>
    <t>ពូជ និងកូនរុក្ខជាតិ</t>
  </si>
  <si>
    <t>60034</t>
  </si>
  <si>
    <t>ផលិតផលការពារសុខុមាលភាពរុក្ខជាតិ និងជី</t>
  </si>
  <si>
    <t>60037</t>
  </si>
  <si>
    <t>ស្បៀងសម្រាប់រដ្ឋបាល</t>
  </si>
  <si>
    <t>6005</t>
  </si>
  <si>
    <t>សម្ភារតូចតាច សង្ហារឹម និងសម្ភារបរិក្ខារ</t>
  </si>
  <si>
    <t>60051</t>
  </si>
  <si>
    <t>សម្ភារនិងបរិក្ខារបច្ចេកទេសមិនមែនព័ត៌មានវិទ្យា</t>
  </si>
  <si>
    <t>60052</t>
  </si>
  <si>
    <t>សង្ហារឹម</t>
  </si>
  <si>
    <t>60053</t>
  </si>
  <si>
    <t>សម្ភារប្រើប្រាស់</t>
  </si>
  <si>
    <t>60054</t>
  </si>
  <si>
    <t>សម្ភារ និងឧបករណ៍ដឹកជញ្ជូន</t>
  </si>
  <si>
    <t>60055</t>
  </si>
  <si>
    <t>សម្ភារនិងបរិក្ខារបច្ចេកទេសព័ត៌មានវិទ្យា</t>
  </si>
  <si>
    <t>60058</t>
  </si>
  <si>
    <t>សម្ភារតូចតាច សង្ហារឹម និងសម្ភារបរិក្ខារផ្សេងៗ</t>
  </si>
  <si>
    <t>6006</t>
  </si>
  <si>
    <t>ថាមពលនិងទឹក</t>
  </si>
  <si>
    <t>60061</t>
  </si>
  <si>
    <t>អគ្គិសនី</t>
  </si>
  <si>
    <t>60062</t>
  </si>
  <si>
    <t>ទឹក</t>
  </si>
  <si>
    <t>61</t>
  </si>
  <si>
    <t>សេវាកម្ម</t>
  </si>
  <si>
    <t>6101</t>
  </si>
  <si>
    <t>កិច្ចសន្យានៃការផ្តល់សេវាជាមួយសហគ្រាស</t>
  </si>
  <si>
    <t>61011</t>
  </si>
  <si>
    <t>សេវាអនាម័យ</t>
  </si>
  <si>
    <t>6102</t>
  </si>
  <si>
    <t>ការជួលមធ្យោបាយដឹកជញ្ជូន</t>
  </si>
  <si>
    <t>61021</t>
  </si>
  <si>
    <t>6105</t>
  </si>
  <si>
    <t>ការថែទាំនិងជួសជុល</t>
  </si>
  <si>
    <t>61051</t>
  </si>
  <si>
    <t>ការថែទាំដីធ្លី សួនច្បារ ព្រៃឈើ តំបន់ឆ្នេរ និងដែននេសាទ</t>
  </si>
  <si>
    <t>61052</t>
  </si>
  <si>
    <t>ការថែទាំ  ជួសជុលអគារផ្សេងៗ និងប្រាសាទ</t>
  </si>
  <si>
    <t>61054</t>
  </si>
  <si>
    <t>ការថែទាំបណ្តាញផ្សេងៗ</t>
  </si>
  <si>
    <t>61056</t>
  </si>
  <si>
    <t>ការថែទាំ និងជួសជុលមធ្យោបាយដឹកជញ្ជូន</t>
  </si>
  <si>
    <t>61057</t>
  </si>
  <si>
    <t>ការថែទាំនិងជួសជុលសម្ភារ និងឧបករណ៍បច្ចេកទេស</t>
  </si>
  <si>
    <t>61058</t>
  </si>
  <si>
    <t>ការថែទាំនិងជួសជុលផ្សេងៗ</t>
  </si>
  <si>
    <t>6110</t>
  </si>
  <si>
    <t>ទំនាក់ទំនងសាធារណៈ និងផ្សព្វផ្សាយ</t>
  </si>
  <si>
    <t>61103</t>
  </si>
  <si>
    <t>ប្រជុំ សិក្ខាសាលា និងសន្និសីទ</t>
  </si>
  <si>
    <t>61108</t>
  </si>
  <si>
    <t>ទំនាក់ទំនងសាធារណៈនិងផ្សព្វផ្សាយផ្សេងៗ</t>
  </si>
  <si>
    <t>6111</t>
  </si>
  <si>
    <t>សារព័ត៌មាន និងឯកសារ</t>
  </si>
  <si>
    <t>61111</t>
  </si>
  <si>
    <t>ចំណាយលើការជាវសារព័ត៌មាន</t>
  </si>
  <si>
    <t>6112</t>
  </si>
  <si>
    <t>សោហ៊ុយបេសកកម្មក្នុងប្រទេស</t>
  </si>
  <si>
    <t>61121</t>
  </si>
  <si>
    <t>សោហ៊ុយដឹកជញ្ជូន</t>
  </si>
  <si>
    <t>61122</t>
  </si>
  <si>
    <t>សោហ៊ុយបេសកកម្ម</t>
  </si>
  <si>
    <t>61123</t>
  </si>
  <si>
    <t>សោហ៊ុយស្នាក់នៅ</t>
  </si>
  <si>
    <t>6114</t>
  </si>
  <si>
    <t>សោហ៊ុយប្រៃសណីយ៍ និងទូរគមនាគមន៍</t>
  </si>
  <si>
    <t>61142</t>
  </si>
  <si>
    <t>សោហ៊ុយទូរគមនាគមន៍</t>
  </si>
  <si>
    <t>64</t>
  </si>
  <si>
    <t>បន្ទុកបុគ្គលិក</t>
  </si>
  <si>
    <t>6402</t>
  </si>
  <si>
    <t>លាភការនិងប្រាក់បំណាច់ បុគ្គលិកក្របខ័ណ្ឌអចិន្ត្រៃយ៍</t>
  </si>
  <si>
    <t>64021</t>
  </si>
  <si>
    <t>បៀវត្សមូលដ្ឋាន</t>
  </si>
  <si>
    <t>64022</t>
  </si>
  <si>
    <t>ប្រាក់បំណាច់មុខងារ</t>
  </si>
  <si>
    <t>64023</t>
  </si>
  <si>
    <t>ប្រាក់បំណាច់ម៉ោងបន្ថែម</t>
  </si>
  <si>
    <t>64026</t>
  </si>
  <si>
    <t>ប្រាក់បំណាច់តំបន់</t>
  </si>
  <si>
    <t>6404</t>
  </si>
  <si>
    <t>លាភការ និងប្រាក់បំណាច់បុគ្គលិកមិនមែនក្របខ័ណ្ឌ</t>
  </si>
  <si>
    <t>64041</t>
  </si>
  <si>
    <t>បៀវត្សមូលដ្ឋាន បុគ្គលិកជាប់កិច្ចសន្យា</t>
  </si>
  <si>
    <t>6405</t>
  </si>
  <si>
    <t>ប្រាក់វិភាជន៍សង្គមសម្រាប់មន្ត្រីរាជការ និងបុគ្គលិកផ្សេងៗ</t>
  </si>
  <si>
    <t>64052</t>
  </si>
  <si>
    <t>អ្នកសម្រាលកូន</t>
  </si>
  <si>
    <t>64053</t>
  </si>
  <si>
    <t>មរណៈភាព</t>
  </si>
  <si>
    <t>64054</t>
  </si>
  <si>
    <t>ឧបត្ថម្ភនិវត្តជន</t>
  </si>
  <si>
    <t>64055</t>
  </si>
  <si>
    <t>ឧបត្ថម្ភដល់អ្នកសុំឈប់ពីការងារ</t>
  </si>
  <si>
    <t>6406</t>
  </si>
  <si>
    <t>ប្រាក់វិភាជន៍សង្គមសម្រាប់គ្រួសារមន្ត្រីរាជការ</t>
  </si>
  <si>
    <t>64061</t>
  </si>
  <si>
    <t>កូនមានអាយុចាប់ពី២០ឆ្នាំចុះ</t>
  </si>
  <si>
    <t>64063</t>
  </si>
  <si>
    <t>ប្រាក់បំណាច់អ្នកក្នុងបន្ទុក</t>
  </si>
  <si>
    <t>6498</t>
  </si>
  <si>
    <t>បន្ទុកបុគ្គលិកផ្សេងៗទៀត</t>
  </si>
  <si>
    <t>64981</t>
  </si>
  <si>
    <t>ប្រភេទទី៣: អន្តរាគមន៍សាធារណៈ</t>
  </si>
  <si>
    <t>62</t>
  </si>
  <si>
    <t>អត្ថប្រយោជន៍សង្គម</t>
  </si>
  <si>
    <t>6202</t>
  </si>
  <si>
    <t>ជំនួយសង្គមដល់ប្រជាពលរដ្ឋ</t>
  </si>
  <si>
    <t>62025</t>
  </si>
  <si>
    <t>អាហារូបករណ៍សម្រាប់ការសិក្សា-ស្រាវជ្រាវក្នុងប្រទេស</t>
  </si>
  <si>
    <t>62028</t>
  </si>
  <si>
    <t>ជំនួយសង្គមផ្សេងៗទៀត</t>
  </si>
  <si>
    <t>6203</t>
  </si>
  <si>
    <t>ឧបត្ថម្ភដល់អង្គភាពដែលមានលក្ខណៈសង្គម និងវប្បធម៌</t>
  </si>
  <si>
    <t>62033</t>
  </si>
  <si>
    <t>ឧបត្ថម្ភដំណើរលំហែ និងសិក្សា</t>
  </si>
  <si>
    <t>62035</t>
  </si>
  <si>
    <t>ឧបត្ថម្ភសហគមន៍ កីឡា និងវប្បធម៌</t>
  </si>
  <si>
    <t>6206</t>
  </si>
  <si>
    <t>ចំណាយអន្តរាគមន៍ផ្នែកសង្គមកិច្ចនិងវប្បធម៌</t>
  </si>
  <si>
    <t>62061</t>
  </si>
  <si>
    <t>ចំណាយលើការប្រឡង-ប្រឡងប្រជែង</t>
  </si>
  <si>
    <t>ប្រភេទទី៤: ចំណាយផ្សេងៗ</t>
  </si>
  <si>
    <t>63</t>
  </si>
  <si>
    <t>ពន្ធ និងអាករ</t>
  </si>
  <si>
    <t>6301</t>
  </si>
  <si>
    <t>លតាប័ត្រ</t>
  </si>
  <si>
    <t>63011</t>
  </si>
  <si>
    <t>ឯកតា: រៀល</t>
  </si>
  <si>
    <t>អនុវត្តជាក់ស្តែង</t>
  </si>
  <si>
    <t>ផលទុនលើការលក់ ការជួលទ្រព្យសម្បត្តិ និងសេវា</t>
  </si>
  <si>
    <t>ផលពីការគ្រប់គ្រងរដ្ឋបាល</t>
  </si>
  <si>
    <t>ផលពីការបង្កើតសហគ្រាស</t>
  </si>
  <si>
    <t>ផលពីការបង់សិទ្ធិប្រឡង</t>
  </si>
  <si>
    <t>ផលហិរញ្ញវត្ថុ</t>
  </si>
  <si>
    <t>ផលហិរញ្ញវត្ថុផ្សេងទៀត</t>
  </si>
  <si>
    <t>អនុ
គណនី</t>
  </si>
  <si>
    <t>បរិយាយប្រភេទចំណូល</t>
  </si>
  <si>
    <t>ឆ្នាំ</t>
  </si>
  <si>
    <t>តារាង</t>
  </si>
  <si>
    <t>ចំនួនសាលារៀន ថ្នាក់រៀន ក្នុងប្រព័ន្ធអប់រំចំណេះទូទៅ តាមឆ្នាំសិក្សា 1979-80 ដល់ 2023-24</t>
  </si>
  <si>
    <t>ចំនួនសិស្ស និងបុគ្គលិកអប់រំ ក្នុងប្រព័ន្ធអប់រំចំណេះទូទៅ តាមឆ្នាំសិក្សា ១៩៨០ ដល់ ២០៣-២៤</t>
  </si>
  <si>
    <t>ចំនួនសាលារៀន ក្នុងប្រព័ន្ធអប់រំចំណេះទូទៅ តាមរាជធានី ខេត្ត និងឆ្នាំសិក្សា 1998 ដល់ 2024</t>
  </si>
  <si>
    <t>ចំនួនសាលារៀនបឋមសិក្សា ក្នុងប្រព័ន្ធអប់រំចំណេះទូទៅ តាមរាជធានី ខេត្ត និងឆ្នាំសិក្សា 1998 ដល់ 2024</t>
  </si>
  <si>
    <t>ចំនួនសាលារៀនមធ្យមសិក្សា ក្នុងប្រព័ន្ធអប់រំចំណេះទូទៅ តាមរាជធានី ខេត្ត និងឆ្នាំសិក្សា 1998 ដល់ 2024</t>
  </si>
  <si>
    <t>ចំនួនថ្នាក់រៀន ក្នុងប្រព័ន្ធអប់រំចំណេះទូទៅ តាមរាជធានី ខេត្ត និងឆ្នាំសិក្សា 1998 ដល់ 2024</t>
  </si>
  <si>
    <t>តារាងទី ២</t>
  </si>
  <si>
    <t>តារាងទី ៣</t>
  </si>
  <si>
    <t>តារាងទី ៤</t>
  </si>
  <si>
    <t>តារាងទី ៥</t>
  </si>
  <si>
    <t>តារាងទី ៦</t>
  </si>
  <si>
    <t>ចំនួនថ្នាក់រៀនមធ្យមសិក្សា ក្នុងប្រព័ន្ធអប់រំចំណេះទូទៅ តាមរាជធានី ខេត្ត និងឆ្នាំសិក្សា 1998 ដល់ 2024</t>
  </si>
  <si>
    <t>ចំនួនបុគ្គលិកសិក្សា ក្នុងប្រព័ន្ធអប់រំចំណេះទូទៅ តាមរាជធានី ខេត្ត និងឆ្នាំសិក្សា 1998 ដល់ 2024</t>
  </si>
  <si>
    <t>ចំនួនគ្រូបង្រៀន ក្នុងប្រព័ន្ធអប់រំចំណេះទូទៅ តាមរាជធានី ខេត្ត និងឆ្នាំសិក្សា 1998 ដល់ 2024</t>
  </si>
  <si>
    <t>ចំនួនសិស្សចុះឈ្មោះចូលរៀន ក្នុងប្រព័ន្ធអប់រំចំណេះទូទៅ តាមរាជធានី ខេត្ត និងឆ្នាំសិក្សា 1998 ដល់ 2024</t>
  </si>
  <si>
    <t>ចំនួនសិស្សចុះឈ្មោះចូលរៀនតាមកម្រិតសិក្សា ក្នុងប្រព័ន្ធអប់រំចំណេះទូទៅ ឆ្នាំសិក្សា 1998 ដល់ 2024</t>
  </si>
  <si>
    <t>តារាងទី ៧</t>
  </si>
  <si>
    <t>តារាងទី ៨</t>
  </si>
  <si>
    <t>តារាងទី ៩</t>
  </si>
  <si>
    <t>តារាងទី ១០</t>
  </si>
  <si>
    <t>តារាងទី ១១</t>
  </si>
  <si>
    <t>តារាងទី ១២</t>
  </si>
  <si>
    <t>ចំនួនសិស្សចុះឈ្មោះចូលរៀនតាមកម្រិតថ្នាក់ និងភេទ ក្នុងប្រព័ន្ធអប់រំចំណេះទូទៅ ឆ្នាំសិក្សា 1998 ដល់ 2024</t>
  </si>
  <si>
    <t>ចំនួនគ្រូ បុគ្គលិក និងនិស្សិត នៅក្នុងប្រព័ន្ធអប់រំឧត្តមសិក្សា ឆ្នាំសិក្សា 2013-14 ដល់ 2023-24</t>
  </si>
  <si>
    <t>ចំនួនគ្រូបង្រៀននៅក្នុងគ្រឹះស្ថានឧត្តមសិក្សារបស់រដ្ឋ និងឯកជន តាមគ្រឹះស្ថាន និងឆ្នាំសិក្សា 2013-14 ដល់ 2023-24</t>
  </si>
  <si>
    <t>ចំនួនបុគ្គលិកផ្សេងទៀត នៅក្នុងគ្រឹះស្ថានឧត្តមសិក្សារបស់រដ្ឋ និងឯកជន តាមគ្រឹះស្ថាន និងឆ្នាំសិក្សា 2013-14 ដល់ 2023-24</t>
  </si>
  <si>
    <t>តារាងទី ១៣</t>
  </si>
  <si>
    <t>តារាងទី ១៤</t>
  </si>
  <si>
    <t>តារាងទី ១៥</t>
  </si>
  <si>
    <t>តារាងទី ១៦</t>
  </si>
  <si>
    <t>ចំនួននិស្សិត នៅក្នុងគ្រឹះស្ថានឧត្តមសិក្សារបស់រដ្ឋ និងឯកជន តាមគ្រឹះស្ថាន និងឆ្នាំសិក្សា 2013-14 ដល់ 2023-24</t>
  </si>
  <si>
    <t>របាយការណ៍ចំណាយថវិកាជាតិ សម្រាប់ការគ្រប់គ្រងវិស៍យអប់រំ ឆ្នាំ២០២៤</t>
  </si>
  <si>
    <t>របាយការណ៍ចំណូលថវិកាថ្នាក់ជាតិក្នុងវិស័យអប់រំ សម្រាប់ការគ្រប់គ្រងឆ្នាំ២០២៤</t>
  </si>
  <si>
    <t>តារាងទី ១៧</t>
  </si>
  <si>
    <t>តារាងទី ១៨</t>
  </si>
  <si>
    <t>ចំណងជើង</t>
  </si>
  <si>
    <t>តារាងទី ១</t>
  </si>
  <si>
    <t>ចំនួនថ្នាក់រៀនបឋមសិក្សា ក្នុងប្រព័ន្ធអប់រំចំណេះទូទៅ តាមរាជធានី ខេត្ត និងឆ្នាំសិក្សា 1998 ដល់ 2024</t>
  </si>
  <si>
    <t>មធ្យមសិក្សាទុតិយភូមិ (ថ្នាក់ទី១០ - ១២​​​​​)</t>
  </si>
  <si>
    <t>មធ្យមសិក្សាបឋមភូមិ  (ថ្នាក់ទី៧ - ៩​​​​​)</t>
  </si>
  <si>
    <t>បឋមសិក្សា (ថ្នាក់ទី១ - ៦​​​​​)</t>
  </si>
  <si>
    <t>ឡើងថ្នាក់</t>
  </si>
  <si>
    <t>ត្រួតថ្នាក់</t>
  </si>
  <si>
    <t>បោះបង់</t>
  </si>
  <si>
    <t>ថ្នាក់ទី៦</t>
  </si>
  <si>
    <t>ថ្នាក់ទី៩</t>
  </si>
  <si>
    <t>ថ្នាក់ទី១២</t>
  </si>
  <si>
    <t>តារាងទី ២០</t>
  </si>
  <si>
    <t>អត្រាលំហូរសិស្សតាមកម្រិតសិក្សា​ និងសិស្សប្រលងជាប់ ឆ្នាំសិក្សា១៩៩៨ ដល់២០២៤</t>
  </si>
  <si>
    <t>ជំនាញសិក្សា</t>
  </si>
  <si>
    <t>កម្រិតឧត្តមសិក្សា</t>
  </si>
  <si>
    <t>តារាងទី ២១. របាយការណ៍ចំណូលថវិកាថ្នាក់ជាតិក្នុងវិស័យអប់រំ សម្រាប់ការគ្រប់គ្រងឆ្នាំ២០២៤</t>
  </si>
  <si>
    <t>តារាងទី២០. របាយការណ៍ចំណាយថវិកាជាតិ សម្រាប់ការគ្រប់គ្រងវិស៍យអប់រំ ឆ្នាំ២០២៤</t>
  </si>
  <si>
    <t>ជំនាញសិក្សារបស់និសិត្ស នៅកម្រិតឧត្តមសិក្សា ​​និងក្រោយឧត្តមសិក្សា ឆ្នាំសិក្សា២០១៤ ដល់២០២៤</t>
  </si>
  <si>
    <t xml:space="preserve">តារាងទី ១៩ </t>
  </si>
  <si>
    <t>តារាងទី ២១</t>
  </si>
  <si>
    <t>តារាងទី ២២</t>
  </si>
  <si>
    <t>តារាងទិន្នន័យរដ្ឋបាល អប់រំ យុវជន និងកីឡា</t>
  </si>
  <si>
    <t>តារាងទី ២៣</t>
  </si>
  <si>
    <t>តារាងទី ២៤</t>
  </si>
  <si>
    <t>ព្រះរាជាណាចក្រកម្ពុជា</t>
  </si>
  <si>
    <t>ជាតិ​ សាសនា ព្រះមហាក្សត្រ</t>
  </si>
  <si>
    <t xml:space="preserve"> ក្រសួងអប់រំ យុវជន និងកីឡា</t>
  </si>
  <si>
    <t>ប្រភព៖ នាយកដ្ឋានប្រព័ន្ធពត៌មានគ្រប់គ្រងអប់រំ នៃក្រសួងអប់រំ យុវជន និងកីឡា</t>
  </si>
  <si>
    <t>ស្ថិតិ និងសូចនាករអប់រំ មត្តេយ្យសិក្សា និងការអប់រំចំណេះទូទៅសម្រាប់សាលារៀន​សាធារណៈ និងឯកជន</t>
  </si>
  <si>
    <t>ស្ថិតិឧត្ដមសិក្សាប្រចាំឆ្នាំ​</t>
  </si>
  <si>
    <t>ស្ថិតិផ្សេងទៀត</t>
  </si>
  <si>
    <t>យោងតាមងនុក្រឹត្យ</t>
  </si>
  <si>
    <t>មធ្យមសិក្សាបឋមភូមិ</t>
  </si>
  <si>
    <t>មធ្យមសិក្សាទុតិយភូមិ</t>
  </si>
  <si>
    <t>ប្ដូរឈ្មោះ</t>
  </si>
  <si>
    <t>តារាងទី ៤. ចំនួនសាលារៀនមត្តេយ្យសិក្សា  តាមរាជធានី ខេត្ត និងឆ្នាំសិក្សា 1998 ដល់ 2024</t>
  </si>
  <si>
    <r>
      <t xml:space="preserve">តារាងទី ១១. ចំនួនសិស្សចុះឈ្មោះចូលរៀន ក្នុងប្រព័ន្ធអប់រំចំណេះទូទៅ តាមរាជធានី ខេត្ត និងឆ្នាំសិក្សា 1998 ដល់ 2024 </t>
    </r>
    <r>
      <rPr>
        <b/>
        <sz val="10"/>
        <color rgb="FFFF0000"/>
        <rFont val="Khmer OS Battambang"/>
      </rPr>
      <t>(មធ្យមសិក្សា)</t>
    </r>
  </si>
  <si>
    <t>មធ្យម</t>
  </si>
  <si>
    <t>ទាប</t>
  </si>
  <si>
    <t>ខ្ពស់</t>
  </si>
  <si>
    <t>ចម្រុះ</t>
  </si>
  <si>
    <t>មត្តេយ្យសិក្សាតាមកម្រិតថ្នាក់</t>
  </si>
  <si>
    <t xml:space="preserve">តារាងទី១៤ : អត្រាលំហូរសិស្សតាមកម្រិតសិក្សា​ និងសិស្សប្រលងជាប់ ឆ្នាំសិក្សា១៩៩៨ ដល់២០២៤ </t>
  </si>
  <si>
    <r>
      <t xml:space="preserve">បេក្ខជនដែលប្រឡងជាប់ </t>
    </r>
    <r>
      <rPr>
        <sz val="8"/>
        <color rgb="FFFF0000"/>
        <rFont val="Khmer OS Battambang"/>
      </rPr>
      <t>(សាលារៀនសាធារណ និងឯកជន)</t>
    </r>
  </si>
  <si>
    <t>ស្ថិតិគណនីរណបវិស័យអប់រំ   ?</t>
  </si>
  <si>
    <t>ស្ថិតិយុវជន និងសមាគម  ?</t>
  </si>
  <si>
    <t>ចំនួនកីឡាករ អត្តពលលិក បុគ្គលិក តាមប្រភេទកីឡា និង​សហព័ន្ធកីឡា  ?</t>
  </si>
  <si>
    <t>ស្ថិតិអប់រំ ក្រៅប្រព័ន្ធប្រចាំឆ្នាំ   ?</t>
  </si>
  <si>
    <t>?​បញ្ជូនទៅនាយកដ្ឋានក្រៅប្រព័ន្ធ ដើម្បីសិក្សាពីអថេរ និងតម្លៃអថេរ</t>
  </si>
  <si>
    <t>ប្រភព៖ នាយកដ្ឋានហិរញ្ញវត្ថុ នៃក្រសួងអប់រំ យុវជន និងកីឡា</t>
  </si>
  <si>
    <t>តារាងទី ១៥. ចំនួនគ្រូបង្រៀន បុគ្គលិកគាំទ្រ និងនិស្សិត ក្រោមឱវាទក្រសួងអប់រំ យុវជន និងកីឡា សម្រាប់ឆ្នាំសិក្សា 2013-14 ដល់ 2023-24</t>
  </si>
  <si>
    <t>ចំនួនបុគ្គលិក
គាំទ្រ</t>
  </si>
  <si>
    <t>ចំនួន
និស្សិត</t>
  </si>
  <si>
    <t>តម្លៃសិក្សាពុំមានទិន្នន័យ</t>
  </si>
  <si>
    <t>ប្រភព៖ នាយកដ្ឋានគ្រប់គ្រងឧត្ដមសិក្សានៃក្រសួងអប់រំ យុវជន និងកីឡា</t>
  </si>
  <si>
    <t>តារាងទី ១៦. ចំនួនគ្រូបង្រៀនតាមគ្រឹះស្ថានឧត្តមសិក្សារដ្ឋ និងឯកជន ក្រោមឱវាទក្រសួងអប់រំ យុវជន និងកីឡា សម្រាប់ឆ្នាំសិក្សា 2013-14 ដល់ 2023-24</t>
  </si>
  <si>
    <t>តារាងទី ១៧. ចំនួនបុគ្គលិកគាំទ្រ តាមគ្រឹះស្ថានឧត្តមសិក្សារដ្ឋ និងឯកជន ក្រោមឱវាទក្រសួងអប់រំ យុវជន និងកីឡា សម្រាប់ឆ្នាំសិក្សា 2013-14 ដល់ 2023-24</t>
  </si>
  <si>
    <t>តារាងទី ១៨.១ ចំនួននិស្សិតថ្នាក់បរិញ្ញាបត្ររង តាមគ្រឹះស្ថានឧត្តមសិក្សារដ្ឋ និងឯកជន ក្រោមឱវាទក្រសួងអប់រំ យុវជន និងកីឡា សម្រាប់ឆ្នាំសិក្សា 2013-14 ដល់ 2023-24</t>
  </si>
  <si>
    <t>តារាងទី ១៨.២ ចំនួននិស្សិតថ្នាក់បរិញ្ញាបត្រ តាមគ្រឹះស្ថានឧត្តមសិក្សារដ្ឋ និងឯកជន ក្រោមឱវាទក្រសួងអប់រំ យុវជន និងកីឡា សម្រាប់ឆ្នាំសិក្សា 2013-14 ដល់ 2023-24</t>
  </si>
  <si>
    <t>តារាងទី ១៩.២ ចំនួននិស្សិតថា្នក់បរិញ្ញាបត្រ សិក្សាតាមជំនាញ ក្រោមឱវាទក្រសួងអប់រំ យុវជន និងកីឡា សម្រាប់ឆ្នាំសិក្សា២០១៤ ដល់២០២៤</t>
  </si>
  <si>
    <t>តារាងទី ១៩.១ ចំនួននិស្សិតថា្នក់បរិញ្ញាបត្ររង សិក្សាតាមជំនាញ ក្រោមឱវាទក្រសួងអប់រំ យុវជន និងកីឡា សម្រាប់ឆ្នាំសិក្សា២០១៤ ដល់២០២៤</t>
  </si>
  <si>
    <t>s</t>
  </si>
  <si>
    <t>តារាងទី ៧. ចំនួនថ្នាក់មត្តេយ្យសិក្សា ក្នុងប្រព័ន្ធអប់រំចំណេះទូទៅ តាមរាជធានី ខេត្ត និងឆ្នាំសិក្សា 1998 ដល់ 2024</t>
  </si>
  <si>
    <t>មត្តេយ្យសិក្សា</t>
  </si>
  <si>
    <t>ស្ថិតិ និងសូចនាករអប់រំក្រៅប្រព័ន្ធនិងបរិយាបន្ន</t>
  </si>
  <si>
    <t>អប់រំក្រៅប្រព័ន្ធ</t>
  </si>
  <si>
    <t>ចំនួនថ្នាក់រៀន គ្រូ សិស្សក្នុងកម្មវិធីអក្ខរកម្ម</t>
  </si>
  <si>
    <t>ចំនួនថ្នាក់រៀន គ្រូ សិស្សក្នុងកម្មវិធីសមមូលបឋមសិក្សា</t>
  </si>
  <si>
    <t>ចំនួនថ្នាក់រៀន គ្រូ សិស្សក្នុងកម្មវិធីសមមូលមធ្យមសិក្សាបឋមភូមិ</t>
  </si>
  <si>
    <t>លទ្ធផលកម្មវិធីបំពេញវិជ្ជា</t>
  </si>
  <si>
    <t>ចំនួនមជ្ឈមណ្ឌលសិក្សាសហគមន៍ គ្រូជំនាញមុខរបរ សិស្ស ថ្នាក់កម្មវិធីបង្កើនប្រាក់ចំណូល</t>
  </si>
  <si>
    <t>ល.រ</t>
  </si>
  <si>
    <t>ឆ្នាំអនុវត្ត</t>
  </si>
  <si>
    <t>អក្ខរកម្ម</t>
  </si>
  <si>
    <t>ថ្នាក់</t>
  </si>
  <si>
    <t>គ្រូ</t>
  </si>
  <si>
    <t>ចូលរៀន</t>
  </si>
  <si>
    <t>បញ្ចប់</t>
  </si>
  <si>
    <t>បញ្ចប់កម្មវិធី</t>
  </si>
  <si>
    <t>ប្រឡងជាប់</t>
  </si>
  <si>
    <t>បំពេញវិជ្ជាបឋមភូមិ</t>
  </si>
  <si>
    <t>បំពេញវិជ្ជាទុតិយភូមិ</t>
  </si>
  <si>
    <t>មកប្រឡង</t>
  </si>
  <si>
    <t>មជ្ឈមណ្ឌលសិក្សាសហគមន៍ និងកម្មវិធីបង្កើនប្រាក់ចំណូល</t>
  </si>
  <si>
    <t>ចំនួនមជ្ឈមណ្ឌលសិក្សាសហគមន៍</t>
  </si>
  <si>
    <t>ចំនួនថ្នាក់ជំនាញ</t>
  </si>
  <si>
    <t>សិស្សចូលរៀន</t>
  </si>
  <si>
    <t>សិស្សរៀនចប់</t>
  </si>
  <si>
    <t>តារាងទី 22 ចំនួនកីឡាករ អត្តពលលិក បុគ្គលិក តាមប្រភេទកីឡា និង​សហព័ន្ធកីឡា</t>
  </si>
  <si>
    <t>ចំនួនសហព័ន្ធកីឡាជាតិ</t>
  </si>
  <si>
    <t>ចំនួនអត្តពលិក</t>
  </si>
  <si>
    <t>ចំនួនគ្រូបង្វឹក</t>
  </si>
  <si>
    <t>ចំនួនមន្ត្រីបច្ចេកទេស</t>
  </si>
  <si>
    <t xml:space="preserve">ចំនួនគរុសិស្ស និស្សិត </t>
  </si>
  <si>
    <t>បញ្ចប់ការសិក្សានៅវិទ្យាស្ថានជាតិអប់រំកាយ និងកីឡា</t>
  </si>
  <si>
    <t xml:space="preserve">ចំនួនកីឡាករជម្រើសជាតិ </t>
  </si>
  <si>
    <t>ថ្នាល</t>
  </si>
  <si>
    <t xml:space="preserve">អត្តពលិក កីឡាសិស្សមធ្យមសិក្សាថ្នាក់ជាតិ </t>
  </si>
  <si>
    <t>អត្តពលិក កីឡាមធ្យមសិក្សាបច្ចេកទេសថ្នាក់ជាតិ</t>
  </si>
  <si>
    <t>អត្តពលិក កីឡាជនមានពិការភាព</t>
  </si>
  <si>
    <t>អត្តពលិក កីឡាសិស្សបឋមសិក្សាថ្នាក់ជាតិ</t>
  </si>
  <si>
    <t>អត្តពលិក កីឡាឧត្តមសិក្សា</t>
  </si>
  <si>
    <t>អត្តពលិក កីឡាជាតិជនពិការ</t>
  </si>
  <si>
    <t>ប្រភព៖ វិទ្យាស្ថានអប់រំកាយ និងកីឡា</t>
  </si>
  <si>
    <t>តារាងទី ២៥</t>
  </si>
  <si>
    <t>ស្ថិតិយុវជន</t>
  </si>
  <si>
    <t>ស្ថិតិក្រុមប្រឹក្សាយុវជនកម្ពុជា និងក្រុមប្រឹក្សាកុមារកម្ពុជា</t>
  </si>
  <si>
    <t>ក្រុមប្រឹក្សាយុវជនកម្ពុជា</t>
  </si>
  <si>
    <t>ក្រុមប្រឹក្សាកុមារកម្ពុជា</t>
  </si>
  <si>
    <t>និយមន័យ</t>
  </si>
  <si>
    <t>ក្រុមប្រឹក្សា</t>
  </si>
  <si>
    <t>សមាជិកសរុប</t>
  </si>
  <si>
    <t>សមាជិកភាពកាយរឹទ្ធិជាតិកម្ពុជា</t>
  </si>
  <si>
    <t>សមាជិកភាព</t>
  </si>
  <si>
    <t>កាយរឹទ្ធិប្អូន (៩-១១ឆ្នាំ)</t>
  </si>
  <si>
    <t>កាយរឹទ្ធិជំទង់ (១២-១៧ឆ្នាំ)</t>
  </si>
  <si>
    <t>កាយរឹទ្ធិរៀមច្បង (១៨-២៥ឆ្នាំ)</t>
  </si>
  <si>
    <t>មេដឹកនាំកាយរឺទ្ធិ (២៦ឆ្នាំឡើង)</t>
  </si>
  <si>
    <t>សមាជិកកិត្តិយស</t>
  </si>
  <si>
    <t>សមាជិកកាយរឹទិ្ធជាតិកម្ពុជា បានកំណត់នៅក្នុងធម្មនុញ្ញា និងបទបញ្ជាផ្ទៃក្នុង ចែកចេញជា ៥ប្រភេទ៖ ១-កាយរឹទិ្ធប្អូន ២-កាយរឹទិ្ធជំទង់ ៣-កាយរឹទិ្ធរៀមច្បង ៤-មេដឹកនាំកាយរឹទិ្ធ និង៥-សមាជិកកិត្តិយស។</t>
  </si>
  <si>
    <t>កាយរឹទិ្ធប្អូន គឺក្រុមសមាជិកកាយរឹទិ្ធជាតិកម្ពុជា មានចន្លោះអាយុចាប់ពី ៩ឆ្នាំ ដល់ ១១ឆ្នាំ និងជាសិស្សកំពុងសិក្សានៅកម្រិតបឋមសិក្សា​នៅតាមគ្រឹះស្ថានសិក្សា និងសហគមន៍។</t>
  </si>
  <si>
    <t>កាយរឹទិ្ធជំទង់ គឺក្រុមសមាជិកកាយរឹទិ្ធជាតិកម្ពុជា មានចន្លោះអាយុចាប់ពី ១២ឆ្នាំ ដល់ ១៧ឆ្នាំ និងជាសិស្សកំពុងសិក្សានៅកម្រិតមធ្យមសិក្សាបឋម និងមធ្យមសិក្សាទុតិយភូមិ​នៅតាមគ្រឹះស្ថានសិក្សា និងសហគមន៍។</t>
  </si>
  <si>
    <t>កាយរឹទិ្ធរៀមច្បង គឺក្រុមសមាជិកកាយរឹទិ្ធជាតិកម្ពុជា មានចន្លោះអាយុចាប់ពី ១៨ឆ្នាំ ដល់ ២៥ឆ្នាំ និងជានិសិ្សតកំពុងសិក្សានៅកម្រិតថ្នាក់ឧត្តមសិក្សា និងសហគមន៍។</t>
  </si>
  <si>
    <t>មេដឹកនាំកាយរឹទិ្ធ គឺក្រុមសមាជិកកាយរឹទិ្ធជាតិកម្ពុជា មានអាយុចាប់ពី២៥ឆ្នាំឡើង និងចូលរួមការងារស្ម័គ្រចិត្តនៅក្នុងរចនាសម្ព័ន្ធក្រុមប្រឹក្សា គណៈកម្មការប្រតិបត្តិថ្នាក់ជាតិ និងថ្នាក់ក្រោមជាតិ និងនៅតាមកងឯកភាព(គ្រឹះស្ថានសិក្សា)។</t>
  </si>
  <si>
    <t>មេដឹកនាំកាយរឹទិ្ធ គឺក្រុមសមាជិកកាយរឹទិ្ធជាតិកម្ពុជា មានធនធានថវិកា និងជំនាញបច្ចេកទេស ចូលរួមស្ម័គ្រចិត្តនៅក្នុងកាយរឹទិ្ធជាតិកម្ពុជា។</t>
  </si>
  <si>
    <t>ប្រភព៖ អគ្គនាយកយុវជន</t>
  </si>
  <si>
    <t>ប្រភព៖ នាយកដ្ឋានក្រៅប្រព័ន្ធ និងអប់រំពិសេស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</si>
</sst>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"/>
    <numFmt numFmtId="165" formatCode="#,##0\ "/>
    <numFmt numFmtId="166" formatCode="\ \ @"/>
    <numFmt numFmtId="167" formatCode="#,##0\ \ \ "/>
    <numFmt numFmtId="168" formatCode="#,##0.0\ "/>
    <numFmt numFmtId="169" formatCode="#,###"/>
    <numFmt numFmtId="170" formatCode="[$-12000453]0"/>
    <numFmt numFmtId="171" formatCode="[$-12000425]0"/>
    <numFmt numFmtId="172" formatCode="_(* #,##0_);_(* \(#,##0\);_(* &quot;-&quot;??_);_(@_)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Khmer OS Battambang"/>
    </font>
    <font>
      <sz val="8"/>
      <name val="Khmer OS Battambang"/>
    </font>
    <font>
      <b/>
      <sz val="8"/>
      <name val="Khmer OS Battambang"/>
    </font>
    <font>
      <b/>
      <sz val="8"/>
      <color indexed="9"/>
      <name val="Arial"/>
      <family val="2"/>
    </font>
    <font>
      <sz val="9"/>
      <name val="Khmer OS Battambang"/>
    </font>
    <font>
      <sz val="9"/>
      <name val="Arial"/>
      <family val="2"/>
    </font>
    <font>
      <sz val="10"/>
      <name val="Khmer OS Muol Light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8"/>
      <color theme="1"/>
      <name val="Khmer OS Battambang"/>
    </font>
    <font>
      <sz val="8"/>
      <color theme="1"/>
      <name val="Khmer OS Battambang"/>
    </font>
    <font>
      <sz val="9"/>
      <color theme="1"/>
      <name val="Khmer OS Battambang"/>
    </font>
    <font>
      <sz val="11"/>
      <color rgb="FF000000"/>
      <name val="Khmer OS Muol Light"/>
    </font>
    <font>
      <b/>
      <sz val="22"/>
      <color rgb="FF000000"/>
      <name val="Tacteing"/>
    </font>
    <font>
      <sz val="8"/>
      <color theme="1"/>
      <name val="Khmer MEF1"/>
    </font>
    <font>
      <sz val="12"/>
      <color rgb="FF000000"/>
      <name val="Khmer OS Battambang"/>
    </font>
    <font>
      <sz val="12"/>
      <color rgb="FF000000"/>
      <name val="Khmer OS Muol Light"/>
    </font>
    <font>
      <sz val="10"/>
      <color theme="4"/>
      <name val="Khmer OS Battambang"/>
    </font>
    <font>
      <b/>
      <sz val="8"/>
      <color rgb="FF0033CC"/>
      <name val="Khmer OS Siemreap"/>
    </font>
    <font>
      <b/>
      <sz val="10"/>
      <color rgb="FF0033CC"/>
      <name val="Khmer OS Battambang"/>
    </font>
    <font>
      <b/>
      <sz val="8"/>
      <color rgb="FF0033CC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Khmer OS Battambang"/>
    </font>
    <font>
      <b/>
      <sz val="8"/>
      <color rgb="FFFF0000"/>
      <name val="Khmer OS Battambang"/>
    </font>
    <font>
      <sz val="8"/>
      <color rgb="FFFF0000"/>
      <name val="Khmer OS Battambang"/>
    </font>
    <font>
      <sz val="12"/>
      <name val="Khmer OS Battambang"/>
    </font>
    <font>
      <sz val="12"/>
      <name val="Arial"/>
      <family val="2"/>
    </font>
    <font>
      <sz val="12"/>
      <color rgb="FFFF0000"/>
      <name val="Khmer OS Battambang"/>
    </font>
    <font>
      <b/>
      <sz val="12"/>
      <name val="Khmer OS Battambang"/>
    </font>
    <font>
      <b/>
      <sz val="12"/>
      <color rgb="FFFF0000"/>
      <name val="Arial"/>
      <family val="2"/>
    </font>
    <font>
      <sz val="12"/>
      <color theme="1"/>
      <name val="Khmer OS Battambang"/>
    </font>
    <font>
      <b/>
      <sz val="12"/>
      <color rgb="FFFF0000"/>
      <name val="Khmer OS Battambang"/>
    </font>
    <font>
      <sz val="10"/>
      <color rgb="FFFF0000"/>
      <name val="Khmer OS Battambang"/>
    </font>
    <font>
      <b/>
      <sz val="9"/>
      <name val="Khmer OS Siemreap"/>
    </font>
    <font>
      <sz val="9"/>
      <name val="Khmer OS Siemreap"/>
    </font>
    <font>
      <sz val="10"/>
      <name val="Khmer OS Siemreap"/>
    </font>
    <font>
      <b/>
      <sz val="8"/>
      <name val="Khmer OS Siemreap"/>
    </font>
    <font>
      <sz val="11"/>
      <color theme="1"/>
      <name val="Khmer OS Siemreap"/>
    </font>
    <font>
      <sz val="14"/>
      <color theme="1"/>
      <name val="Khmer OS Muol Light"/>
    </font>
    <font>
      <sz val="11"/>
      <color theme="1"/>
      <name val="Khmer OS Muol Light"/>
    </font>
    <font>
      <b/>
      <sz val="11"/>
      <color theme="1"/>
      <name val="Khmer OS Siemreap"/>
    </font>
    <font>
      <sz val="12"/>
      <name val="Khmer OS Siemreap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19" fillId="0" borderId="0"/>
    <xf numFmtId="0" fontId="2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/>
  </cellStyleXfs>
  <cellXfs count="314">
    <xf numFmtId="0" fontId="0" fillId="0" borderId="0" xfId="0"/>
    <xf numFmtId="0" fontId="5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165" fontId="5" fillId="0" borderId="0" xfId="0" applyNumberFormat="1" applyFont="1"/>
    <xf numFmtId="165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166" fontId="5" fillId="0" borderId="0" xfId="0" applyNumberFormat="1" applyFont="1" applyAlignment="1" applyProtection="1">
      <alignment horizontal="left" vertical="center"/>
      <protection locked="0"/>
    </xf>
    <xf numFmtId="167" fontId="5" fillId="0" borderId="0" xfId="1" applyNumberFormat="1" applyFont="1" applyBorder="1" applyAlignment="1" applyProtection="1">
      <alignment horizontal="right" vertical="center"/>
      <protection locked="0"/>
    </xf>
    <xf numFmtId="166" fontId="5" fillId="0" borderId="0" xfId="0" quotePrefix="1" applyNumberFormat="1" applyFont="1" applyAlignment="1" applyProtection="1">
      <alignment horizontal="left" vertical="center"/>
      <protection locked="0"/>
    </xf>
    <xf numFmtId="167" fontId="5" fillId="0" borderId="3" xfId="1" applyNumberFormat="1" applyFont="1" applyBorder="1" applyAlignment="1" applyProtection="1">
      <alignment horizontal="right" vertical="center"/>
      <protection locked="0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167" fontId="5" fillId="0" borderId="0" xfId="1" applyNumberFormat="1" applyFont="1" applyBorder="1" applyAlignment="1" applyProtection="1">
      <alignment vertical="center"/>
      <protection locked="0"/>
    </xf>
    <xf numFmtId="167" fontId="5" fillId="0" borderId="3" xfId="1" applyNumberFormat="1" applyFont="1" applyBorder="1" applyAlignment="1" applyProtection="1">
      <alignment vertical="center"/>
      <protection locked="0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7" fontId="5" fillId="0" borderId="0" xfId="1" applyNumberFormat="1" applyFont="1" applyBorder="1" applyAlignment="1">
      <alignment vertical="center"/>
    </xf>
    <xf numFmtId="1" fontId="5" fillId="0" borderId="0" xfId="1" applyNumberFormat="1" applyFont="1" applyBorder="1" applyAlignment="1" applyProtection="1">
      <alignment horizontal="left" vertical="center"/>
      <protection locked="0"/>
    </xf>
    <xf numFmtId="165" fontId="5" fillId="0" borderId="0" xfId="1" applyNumberFormat="1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/>
    <xf numFmtId="166" fontId="8" fillId="0" borderId="0" xfId="0" applyNumberFormat="1" applyFont="1" applyAlignment="1" applyProtection="1">
      <alignment horizontal="left" vertical="center"/>
      <protection locked="0"/>
    </xf>
    <xf numFmtId="167" fontId="8" fillId="0" borderId="0" xfId="1" applyNumberFormat="1" applyFont="1" applyBorder="1" applyAlignment="1" applyProtection="1">
      <alignment vertical="center"/>
      <protection locked="0"/>
    </xf>
    <xf numFmtId="0" fontId="9" fillId="0" borderId="0" xfId="0" applyFont="1"/>
    <xf numFmtId="167" fontId="8" fillId="0" borderId="0" xfId="1" applyNumberFormat="1" applyFont="1" applyBorder="1" applyAlignment="1" applyProtection="1">
      <alignment horizontal="right" vertical="center"/>
      <protection locked="0"/>
    </xf>
    <xf numFmtId="0" fontId="5" fillId="2" borderId="4" xfId="0" applyFont="1" applyFill="1" applyBorder="1" applyAlignment="1">
      <alignment horizontal="right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67" fontId="5" fillId="0" borderId="0" xfId="0" applyNumberFormat="1" applyFont="1"/>
    <xf numFmtId="0" fontId="5" fillId="0" borderId="7" xfId="0" applyFont="1" applyBorder="1"/>
    <xf numFmtId="0" fontId="10" fillId="0" borderId="0" xfId="0" applyFont="1"/>
    <xf numFmtId="0" fontId="5" fillId="0" borderId="0" xfId="0" applyFont="1" applyAlignment="1">
      <alignment horizontal="left" vertical="center"/>
    </xf>
    <xf numFmtId="166" fontId="5" fillId="0" borderId="0" xfId="0" quotePrefix="1" applyNumberFormat="1" applyFont="1" applyAlignment="1" applyProtection="1">
      <alignment vertical="center"/>
      <protection locked="0"/>
    </xf>
    <xf numFmtId="0" fontId="5" fillId="0" borderId="7" xfId="0" applyFont="1" applyBorder="1" applyAlignment="1">
      <alignment horizontal="left"/>
    </xf>
    <xf numFmtId="168" fontId="5" fillId="0" borderId="0" xfId="0" applyNumberFormat="1" applyFont="1" applyAlignment="1">
      <alignment horizontal="right" vertical="center"/>
    </xf>
    <xf numFmtId="164" fontId="0" fillId="0" borderId="0" xfId="0" applyNumberFormat="1"/>
    <xf numFmtId="165" fontId="0" fillId="0" borderId="0" xfId="0" applyNumberFormat="1"/>
    <xf numFmtId="0" fontId="11" fillId="0" borderId="0" xfId="0" applyFont="1"/>
    <xf numFmtId="0" fontId="5" fillId="0" borderId="7" xfId="0" applyFont="1" applyBorder="1" applyAlignment="1">
      <alignment horizontal="center" vertical="center"/>
    </xf>
    <xf numFmtId="0" fontId="0" fillId="0" borderId="7" xfId="0" applyBorder="1"/>
    <xf numFmtId="0" fontId="8" fillId="0" borderId="7" xfId="0" applyFont="1" applyBorder="1"/>
    <xf numFmtId="167" fontId="5" fillId="0" borderId="7" xfId="1" applyNumberFormat="1" applyFont="1" applyBorder="1" applyAlignment="1" applyProtection="1">
      <alignment horizontal="right" vertical="center"/>
      <protection locked="0"/>
    </xf>
    <xf numFmtId="167" fontId="5" fillId="0" borderId="7" xfId="1" applyNumberFormat="1" applyFont="1" applyBorder="1" applyAlignment="1">
      <alignment vertical="center"/>
    </xf>
    <xf numFmtId="0" fontId="9" fillId="0" borderId="7" xfId="0" applyFont="1" applyBorder="1"/>
    <xf numFmtId="1" fontId="5" fillId="0" borderId="7" xfId="1" applyNumberFormat="1" applyFont="1" applyBorder="1" applyAlignment="1" applyProtection="1">
      <alignment horizontal="left" vertical="center"/>
      <protection locked="0"/>
    </xf>
    <xf numFmtId="165" fontId="5" fillId="0" borderId="7" xfId="1" applyNumberFormat="1" applyFont="1" applyBorder="1" applyAlignment="1" applyProtection="1">
      <alignment horizontal="right" vertical="center"/>
      <protection locked="0"/>
    </xf>
    <xf numFmtId="0" fontId="5" fillId="0" borderId="8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right" vertical="center"/>
    </xf>
    <xf numFmtId="165" fontId="5" fillId="0" borderId="8" xfId="0" applyNumberFormat="1" applyFont="1" applyBorder="1"/>
    <xf numFmtId="0" fontId="0" fillId="0" borderId="8" xfId="0" applyBorder="1"/>
    <xf numFmtId="0" fontId="12" fillId="0" borderId="0" xfId="0" applyFont="1"/>
    <xf numFmtId="166" fontId="13" fillId="2" borderId="2" xfId="0" applyNumberFormat="1" applyFont="1" applyFill="1" applyBorder="1" applyAlignment="1" applyProtection="1">
      <alignment horizontal="left" vertical="center"/>
      <protection locked="0"/>
    </xf>
    <xf numFmtId="166" fontId="13" fillId="0" borderId="0" xfId="0" applyNumberFormat="1" applyFont="1" applyAlignment="1" applyProtection="1">
      <alignment horizontal="left" vertical="center"/>
      <protection locked="0"/>
    </xf>
    <xf numFmtId="166" fontId="13" fillId="0" borderId="0" xfId="0" quotePrefix="1" applyNumberFormat="1" applyFont="1" applyAlignment="1" applyProtection="1">
      <alignment horizontal="left" vertical="center"/>
      <protection locked="0"/>
    </xf>
    <xf numFmtId="166" fontId="13" fillId="0" borderId="3" xfId="0" quotePrefix="1" applyNumberFormat="1" applyFont="1" applyBorder="1" applyAlignment="1" applyProtection="1">
      <alignment horizontal="left" vertical="center"/>
      <protection locked="0"/>
    </xf>
    <xf numFmtId="166" fontId="14" fillId="0" borderId="0" xfId="0" applyNumberFormat="1" applyFont="1" applyAlignment="1" applyProtection="1">
      <alignment horizontal="left" vertical="center"/>
      <protection locked="0"/>
    </xf>
    <xf numFmtId="167" fontId="7" fillId="0" borderId="0" xfId="1" applyNumberFormat="1" applyFont="1" applyBorder="1" applyAlignment="1" applyProtection="1">
      <alignment horizontal="right" vertical="center"/>
      <protection locked="0"/>
    </xf>
    <xf numFmtId="0" fontId="15" fillId="0" borderId="0" xfId="0" applyFont="1"/>
    <xf numFmtId="166" fontId="14" fillId="0" borderId="0" xfId="0" applyNumberFormat="1" applyFont="1" applyAlignment="1" applyProtection="1">
      <alignment horizontal="left" vertical="top"/>
      <protection locked="0"/>
    </xf>
    <xf numFmtId="166" fontId="13" fillId="0" borderId="7" xfId="0" quotePrefix="1" applyNumberFormat="1" applyFont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169" fontId="21" fillId="0" borderId="18" xfId="3" applyNumberFormat="1" applyFont="1" applyBorder="1" applyAlignment="1">
      <alignment horizontal="right" vertical="center" wrapText="1"/>
    </xf>
    <xf numFmtId="169" fontId="21" fillId="0" borderId="19" xfId="3" applyNumberFormat="1" applyFont="1" applyBorder="1" applyAlignment="1">
      <alignment horizontal="righ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0" borderId="18" xfId="3" applyFont="1" applyBorder="1" applyAlignment="1">
      <alignment horizontal="left" vertical="center" wrapText="1"/>
    </xf>
    <xf numFmtId="169" fontId="22" fillId="0" borderId="18" xfId="3" applyNumberFormat="1" applyFont="1" applyBorder="1" applyAlignment="1">
      <alignment horizontal="right" vertical="center" wrapText="1"/>
    </xf>
    <xf numFmtId="0" fontId="22" fillId="0" borderId="20" xfId="3" applyFont="1" applyBorder="1" applyAlignment="1">
      <alignment vertical="center" wrapText="1"/>
    </xf>
    <xf numFmtId="0" fontId="22" fillId="0" borderId="18" xfId="3" applyFont="1" applyBorder="1" applyAlignment="1">
      <alignment horizontal="left" vertical="center"/>
    </xf>
    <xf numFmtId="0" fontId="16" fillId="0" borderId="0" xfId="0" applyFont="1"/>
    <xf numFmtId="0" fontId="13" fillId="0" borderId="0" xfId="0" applyFont="1"/>
    <xf numFmtId="0" fontId="21" fillId="0" borderId="18" xfId="3" applyFont="1" applyBorder="1" applyAlignment="1">
      <alignment horizontal="center" vertical="center" wrapText="1"/>
    </xf>
    <xf numFmtId="0" fontId="22" fillId="0" borderId="21" xfId="3" applyFont="1" applyBorder="1" applyAlignment="1">
      <alignment vertical="center" wrapText="1"/>
    </xf>
    <xf numFmtId="0" fontId="22" fillId="0" borderId="22" xfId="3" applyFont="1" applyBorder="1" applyAlignment="1">
      <alignment vertical="center" wrapText="1"/>
    </xf>
    <xf numFmtId="0" fontId="21" fillId="0" borderId="20" xfId="3" applyFont="1" applyBorder="1" applyAlignment="1">
      <alignment vertical="center"/>
    </xf>
    <xf numFmtId="0" fontId="21" fillId="0" borderId="21" xfId="3" applyFont="1" applyBorder="1" applyAlignment="1">
      <alignment vertical="center" wrapText="1"/>
    </xf>
    <xf numFmtId="0" fontId="21" fillId="0" borderId="22" xfId="3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 applyFill="1" applyBorder="1" applyAlignment="1"/>
    <xf numFmtId="0" fontId="22" fillId="0" borderId="7" xfId="0" applyFont="1" applyBorder="1" applyAlignment="1">
      <alignment horizontal="center"/>
    </xf>
    <xf numFmtId="0" fontId="22" fillId="0" borderId="7" xfId="0" applyFont="1" applyBorder="1"/>
    <xf numFmtId="43" fontId="22" fillId="0" borderId="7" xfId="1" applyFont="1" applyFill="1" applyBorder="1" applyAlignment="1"/>
    <xf numFmtId="0" fontId="23" fillId="0" borderId="0" xfId="0" applyFont="1"/>
    <xf numFmtId="0" fontId="22" fillId="3" borderId="9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0" fontId="22" fillId="0" borderId="8" xfId="0" applyFont="1" applyBorder="1"/>
    <xf numFmtId="0" fontId="21" fillId="0" borderId="8" xfId="0" applyFont="1" applyBorder="1"/>
    <xf numFmtId="170" fontId="21" fillId="0" borderId="8" xfId="0" applyNumberFormat="1" applyFont="1" applyBorder="1" applyAlignment="1">
      <alignment vertical="center"/>
    </xf>
    <xf numFmtId="0" fontId="13" fillId="0" borderId="7" xfId="0" applyFont="1" applyBorder="1"/>
    <xf numFmtId="0" fontId="22" fillId="4" borderId="18" xfId="3" applyFont="1" applyFill="1" applyBorder="1" applyAlignment="1">
      <alignment horizontal="center" vertical="center" wrapText="1"/>
    </xf>
    <xf numFmtId="0" fontId="17" fillId="0" borderId="0" xfId="0" applyFont="1"/>
    <xf numFmtId="166" fontId="13" fillId="2" borderId="1" xfId="0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/>
    <xf numFmtId="0" fontId="12" fillId="0" borderId="9" xfId="0" applyFont="1" applyBorder="1"/>
    <xf numFmtId="0" fontId="12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2" fillId="0" borderId="10" xfId="0" applyFont="1" applyBorder="1"/>
    <xf numFmtId="0" fontId="12" fillId="5" borderId="9" xfId="0" applyFont="1" applyFill="1" applyBorder="1" applyAlignment="1">
      <alignment horizontal="center"/>
    </xf>
    <xf numFmtId="0" fontId="12" fillId="5" borderId="9" xfId="0" applyFont="1" applyFill="1" applyBorder="1"/>
    <xf numFmtId="0" fontId="4" fillId="0" borderId="0" xfId="2"/>
    <xf numFmtId="0" fontId="24" fillId="6" borderId="0" xfId="4" applyFont="1" applyFill="1" applyAlignment="1">
      <alignment horizontal="center" vertical="center"/>
    </xf>
    <xf numFmtId="0" fontId="24" fillId="6" borderId="0" xfId="4" applyFont="1" applyFill="1" applyAlignment="1">
      <alignment horizontal="left" vertical="center" shrinkToFit="1"/>
    </xf>
    <xf numFmtId="0" fontId="24" fillId="6" borderId="0" xfId="4" applyFont="1" applyFill="1" applyAlignment="1">
      <alignment vertical="center" shrinkToFit="1"/>
    </xf>
    <xf numFmtId="0" fontId="4" fillId="7" borderId="0" xfId="2" applyFill="1"/>
    <xf numFmtId="0" fontId="4" fillId="8" borderId="0" xfId="2" applyFill="1"/>
    <xf numFmtId="0" fontId="24" fillId="6" borderId="0" xfId="4" applyFont="1" applyFill="1" applyAlignment="1">
      <alignment vertical="center"/>
    </xf>
    <xf numFmtId="0" fontId="24" fillId="6" borderId="0" xfId="4" applyFont="1" applyFill="1"/>
    <xf numFmtId="0" fontId="25" fillId="6" borderId="0" xfId="4" applyFont="1" applyFill="1" applyAlignment="1">
      <alignment horizontal="center" vertical="center"/>
    </xf>
    <xf numFmtId="0" fontId="24" fillId="6" borderId="0" xfId="4" applyFont="1" applyFill="1" applyAlignment="1">
      <alignment vertical="top" shrinkToFit="1"/>
    </xf>
    <xf numFmtId="0" fontId="24" fillId="6" borderId="0" xfId="4" applyFont="1" applyFill="1" applyAlignment="1">
      <alignment horizontal="left" vertical="top" shrinkToFit="1"/>
    </xf>
    <xf numFmtId="0" fontId="24" fillId="6" borderId="0" xfId="4" applyFont="1" applyFill="1" applyAlignment="1">
      <alignment horizontal="center" vertical="top"/>
    </xf>
    <xf numFmtId="0" fontId="20" fillId="6" borderId="0" xfId="4" applyFill="1" applyAlignment="1">
      <alignment vertical="center" shrinkToFit="1"/>
    </xf>
    <xf numFmtId="0" fontId="20" fillId="6" borderId="0" xfId="4" applyFill="1" applyAlignment="1">
      <alignment horizontal="center" vertical="center"/>
    </xf>
    <xf numFmtId="0" fontId="27" fillId="0" borderId="0" xfId="0" applyFont="1" applyAlignment="1">
      <alignment horizontal="justify" vertical="center"/>
    </xf>
    <xf numFmtId="0" fontId="28" fillId="0" borderId="0" xfId="0" applyFont="1" applyAlignment="1">
      <alignment horizontal="justify" vertical="center"/>
    </xf>
    <xf numFmtId="0" fontId="29" fillId="0" borderId="0" xfId="0" applyFont="1"/>
    <xf numFmtId="0" fontId="31" fillId="0" borderId="0" xfId="0" applyFont="1" applyAlignment="1">
      <alignment vertical="top"/>
    </xf>
    <xf numFmtId="0" fontId="32" fillId="0" borderId="0" xfId="0" applyFont="1"/>
    <xf numFmtId="166" fontId="14" fillId="0" borderId="0" xfId="0" applyNumberFormat="1" applyFont="1" applyAlignment="1" applyProtection="1">
      <alignment horizontal="center" vertical="top"/>
      <protection locked="0"/>
    </xf>
    <xf numFmtId="0" fontId="5" fillId="0" borderId="7" xfId="0" applyFont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justify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166" fontId="36" fillId="0" borderId="0" xfId="0" applyNumberFormat="1" applyFont="1" applyAlignment="1" applyProtection="1">
      <alignment horizontal="left" vertical="top"/>
      <protection locked="0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5" borderId="9" xfId="0" applyFont="1" applyFill="1" applyBorder="1" applyAlignment="1">
      <alignment horizontal="center" vertical="center"/>
    </xf>
    <xf numFmtId="166" fontId="36" fillId="0" borderId="0" xfId="0" applyNumberFormat="1" applyFont="1" applyAlignment="1" applyProtection="1">
      <alignment horizontal="center" vertical="top"/>
      <protection locked="0"/>
    </xf>
    <xf numFmtId="0" fontId="36" fillId="0" borderId="0" xfId="0" applyFont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38" fillId="0" borderId="0" xfId="0" applyFont="1"/>
    <xf numFmtId="0" fontId="39" fillId="0" borderId="0" xfId="0" applyFont="1"/>
    <xf numFmtId="0" fontId="38" fillId="4" borderId="9" xfId="0" applyFont="1" applyFill="1" applyBorder="1" applyAlignment="1">
      <alignment horizontal="center" vertical="center"/>
    </xf>
    <xf numFmtId="0" fontId="38" fillId="4" borderId="9" xfId="0" applyFont="1" applyFill="1" applyBorder="1" applyAlignment="1">
      <alignment horizontal="center"/>
    </xf>
    <xf numFmtId="0" fontId="38" fillId="4" borderId="9" xfId="0" applyFont="1" applyFill="1" applyBorder="1" applyAlignment="1">
      <alignment horizontal="center" vertical="top" wrapText="1"/>
    </xf>
    <xf numFmtId="0" fontId="38" fillId="5" borderId="9" xfId="0" applyFont="1" applyFill="1" applyBorder="1" applyAlignment="1">
      <alignment horizontal="center" vertical="top" wrapText="1"/>
    </xf>
    <xf numFmtId="0" fontId="40" fillId="5" borderId="9" xfId="0" applyFont="1" applyFill="1" applyBorder="1" applyAlignment="1">
      <alignment horizontal="center" vertical="top" wrapText="1"/>
    </xf>
    <xf numFmtId="0" fontId="40" fillId="0" borderId="0" xfId="0" applyFont="1"/>
    <xf numFmtId="0" fontId="38" fillId="0" borderId="9" xfId="0" applyFont="1" applyBorder="1" applyAlignment="1">
      <alignment horizontal="center"/>
    </xf>
    <xf numFmtId="0" fontId="38" fillId="0" borderId="9" xfId="0" applyFont="1" applyBorder="1"/>
    <xf numFmtId="0" fontId="39" fillId="0" borderId="9" xfId="0" applyFont="1" applyBorder="1"/>
    <xf numFmtId="0" fontId="41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vertical="center"/>
    </xf>
    <xf numFmtId="0" fontId="39" fillId="0" borderId="9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9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8" fillId="4" borderId="9" xfId="0" applyFont="1" applyFill="1" applyBorder="1" applyAlignment="1">
      <alignment horizontal="center" vertical="center" wrapText="1"/>
    </xf>
    <xf numFmtId="0" fontId="41" fillId="0" borderId="9" xfId="0" applyFont="1" applyBorder="1"/>
    <xf numFmtId="0" fontId="41" fillId="0" borderId="9" xfId="0" applyFont="1" applyBorder="1" applyAlignment="1">
      <alignment horizontal="center"/>
    </xf>
    <xf numFmtId="0" fontId="42" fillId="0" borderId="0" xfId="0" applyFont="1"/>
    <xf numFmtId="0" fontId="43" fillId="0" borderId="0" xfId="0" applyFont="1" applyAlignment="1">
      <alignment vertical="center"/>
    </xf>
    <xf numFmtId="170" fontId="38" fillId="2" borderId="1" xfId="0" applyNumberFormat="1" applyFont="1" applyFill="1" applyBorder="1" applyAlignment="1" applyProtection="1">
      <alignment horizontal="center" vertical="center"/>
      <protection locked="0"/>
    </xf>
    <xf numFmtId="0" fontId="44" fillId="5" borderId="1" xfId="0" applyFont="1" applyFill="1" applyBorder="1" applyAlignment="1">
      <alignment horizontal="left"/>
    </xf>
    <xf numFmtId="0" fontId="39" fillId="0" borderId="1" xfId="0" applyFont="1" applyBorder="1"/>
    <xf numFmtId="171" fontId="39" fillId="0" borderId="1" xfId="0" applyNumberFormat="1" applyFont="1" applyBorder="1" applyAlignment="1">
      <alignment horizontal="center" vertical="center"/>
    </xf>
    <xf numFmtId="171" fontId="39" fillId="0" borderId="1" xfId="0" applyNumberFormat="1" applyFont="1" applyBorder="1"/>
    <xf numFmtId="0" fontId="13" fillId="2" borderId="2" xfId="0" applyFont="1" applyFill="1" applyBorder="1" applyAlignment="1">
      <alignment horizontal="center" vertical="center"/>
    </xf>
    <xf numFmtId="0" fontId="24" fillId="6" borderId="0" xfId="4" applyFont="1" applyFill="1" applyAlignment="1">
      <alignment horizontal="center" vertical="center"/>
    </xf>
    <xf numFmtId="0" fontId="25" fillId="6" borderId="0" xfId="4" applyFont="1" applyFill="1" applyAlignment="1">
      <alignment horizontal="center" vertical="center"/>
    </xf>
    <xf numFmtId="0" fontId="24" fillId="6" borderId="0" xfId="4" applyFont="1" applyFill="1" applyAlignment="1">
      <alignment horizontal="center" vertical="top"/>
    </xf>
    <xf numFmtId="3" fontId="5" fillId="5" borderId="9" xfId="0" applyNumberFormat="1" applyFont="1" applyFill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3" fontId="5" fillId="5" borderId="9" xfId="0" applyNumberFormat="1" applyFont="1" applyFill="1" applyBorder="1"/>
    <xf numFmtId="0" fontId="45" fillId="0" borderId="0" xfId="0" applyFont="1"/>
    <xf numFmtId="0" fontId="37" fillId="9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shrinkToFit="1"/>
    </xf>
    <xf numFmtId="0" fontId="27" fillId="0" borderId="0" xfId="5" applyFont="1" applyAlignment="1">
      <alignment horizontal="justify" vertical="center"/>
    </xf>
    <xf numFmtId="0" fontId="12" fillId="0" borderId="0" xfId="5" applyFont="1"/>
    <xf numFmtId="0" fontId="12" fillId="0" borderId="9" xfId="5" applyFont="1" applyBorder="1"/>
    <xf numFmtId="0" fontId="18" fillId="0" borderId="9" xfId="5" applyFont="1" applyBorder="1"/>
    <xf numFmtId="0" fontId="12" fillId="0" borderId="9" xfId="5" applyFont="1" applyBorder="1" applyAlignment="1">
      <alignment horizontal="center"/>
    </xf>
    <xf numFmtId="0" fontId="2" fillId="0" borderId="0" xfId="5"/>
    <xf numFmtId="0" fontId="46" fillId="10" borderId="34" xfId="5" applyFont="1" applyFill="1" applyBorder="1" applyAlignment="1" applyProtection="1">
      <alignment horizontal="center" vertical="center" wrapText="1" readingOrder="1"/>
      <protection locked="0"/>
    </xf>
    <xf numFmtId="0" fontId="47" fillId="0" borderId="34" xfId="5" applyFont="1" applyBorder="1" applyAlignment="1" applyProtection="1">
      <alignment horizontal="right" vertical="center" wrapText="1" readingOrder="1"/>
      <protection locked="0"/>
    </xf>
    <xf numFmtId="49" fontId="47" fillId="0" borderId="34" xfId="5" applyNumberFormat="1" applyFont="1" applyBorder="1" applyAlignment="1">
      <alignment horizontal="center" vertical="center" wrapText="1"/>
    </xf>
    <xf numFmtId="172" fontId="47" fillId="0" borderId="34" xfId="6" applyNumberFormat="1" applyFont="1" applyBorder="1" applyAlignment="1" applyProtection="1">
      <alignment vertical="center" wrapText="1" readingOrder="1"/>
      <protection locked="0"/>
    </xf>
    <xf numFmtId="172" fontId="47" fillId="0" borderId="34" xfId="6" applyNumberFormat="1" applyFont="1" applyBorder="1" applyAlignment="1" applyProtection="1">
      <alignment horizontal="center" vertical="center" wrapText="1" readingOrder="1"/>
      <protection locked="0"/>
    </xf>
    <xf numFmtId="0" fontId="47" fillId="0" borderId="37" xfId="5" applyFont="1" applyBorder="1" applyAlignment="1" applyProtection="1">
      <alignment horizontal="right" vertical="center" wrapText="1" readingOrder="1"/>
      <protection locked="0"/>
    </xf>
    <xf numFmtId="171" fontId="48" fillId="0" borderId="37" xfId="7" applyNumberFormat="1" applyFont="1" applyBorder="1" applyAlignment="1">
      <alignment horizontal="center" vertical="center"/>
    </xf>
    <xf numFmtId="172" fontId="47" fillId="0" borderId="38" xfId="6" applyNumberFormat="1" applyFont="1" applyBorder="1" applyAlignment="1" applyProtection="1">
      <alignment vertical="center" wrapText="1" readingOrder="1"/>
      <protection locked="0"/>
    </xf>
    <xf numFmtId="172" fontId="47" fillId="0" borderId="37" xfId="6" applyNumberFormat="1" applyFont="1" applyBorder="1" applyAlignment="1" applyProtection="1">
      <alignment horizontal="right" vertical="center" wrapText="1" readingOrder="1"/>
      <protection locked="0"/>
    </xf>
    <xf numFmtId="172" fontId="47" fillId="0" borderId="37" xfId="6" applyNumberFormat="1" applyFont="1" applyBorder="1" applyAlignment="1" applyProtection="1">
      <alignment vertical="center" wrapText="1" readingOrder="1"/>
      <protection locked="0"/>
    </xf>
    <xf numFmtId="0" fontId="47" fillId="0" borderId="38" xfId="5" applyFont="1" applyBorder="1" applyAlignment="1" applyProtection="1">
      <alignment horizontal="right" vertical="center" wrapText="1" readingOrder="1"/>
      <protection locked="0"/>
    </xf>
    <xf numFmtId="171" fontId="48" fillId="0" borderId="38" xfId="7" applyNumberFormat="1" applyFont="1" applyBorder="1" applyAlignment="1">
      <alignment horizontal="center" vertical="center"/>
    </xf>
    <xf numFmtId="172" fontId="47" fillId="0" borderId="39" xfId="6" applyNumberFormat="1" applyFont="1" applyBorder="1" applyAlignment="1" applyProtection="1">
      <alignment vertical="center" wrapText="1" readingOrder="1"/>
      <protection locked="0"/>
    </xf>
    <xf numFmtId="0" fontId="47" fillId="0" borderId="40" xfId="5" applyFont="1" applyBorder="1" applyAlignment="1" applyProtection="1">
      <alignment horizontal="right" vertical="center" wrapText="1" readingOrder="1"/>
      <protection locked="0"/>
    </xf>
    <xf numFmtId="171" fontId="48" fillId="0" borderId="40" xfId="7" applyNumberFormat="1" applyFont="1" applyBorder="1" applyAlignment="1">
      <alignment horizontal="center" vertical="center"/>
    </xf>
    <xf numFmtId="172" fontId="47" fillId="0" borderId="40" xfId="6" applyNumberFormat="1" applyFont="1" applyBorder="1" applyAlignment="1" applyProtection="1">
      <alignment vertical="center" wrapText="1" readingOrder="1"/>
      <protection locked="0"/>
    </xf>
    <xf numFmtId="0" fontId="12" fillId="0" borderId="41" xfId="5" applyFont="1" applyBorder="1" applyAlignment="1">
      <alignment horizontal="center"/>
    </xf>
    <xf numFmtId="0" fontId="12" fillId="0" borderId="41" xfId="5" applyFont="1" applyBorder="1"/>
    <xf numFmtId="171" fontId="47" fillId="12" borderId="37" xfId="7" applyNumberFormat="1" applyFont="1" applyFill="1" applyBorder="1" applyAlignment="1">
      <alignment horizontal="center" vertical="center"/>
    </xf>
    <xf numFmtId="171" fontId="47" fillId="0" borderId="38" xfId="7" applyNumberFormat="1" applyFont="1" applyBorder="1" applyAlignment="1">
      <alignment horizontal="center" vertical="center"/>
    </xf>
    <xf numFmtId="172" fontId="47" fillId="0" borderId="38" xfId="6" applyNumberFormat="1" applyFont="1" applyBorder="1" applyAlignment="1" applyProtection="1">
      <alignment horizontal="right" vertical="center" wrapText="1" readingOrder="1"/>
      <protection locked="0"/>
    </xf>
    <xf numFmtId="171" fontId="47" fillId="12" borderId="38" xfId="7" applyNumberFormat="1" applyFont="1" applyFill="1" applyBorder="1" applyAlignment="1">
      <alignment horizontal="center" vertical="center"/>
    </xf>
    <xf numFmtId="0" fontId="47" fillId="0" borderId="37" xfId="5" applyFont="1" applyBorder="1" applyAlignment="1" applyProtection="1">
      <alignment horizontal="right" wrapText="1" readingOrder="1"/>
      <protection locked="0"/>
    </xf>
    <xf numFmtId="171" fontId="47" fillId="0" borderId="37" xfId="7" applyNumberFormat="1" applyFont="1" applyBorder="1" applyAlignment="1">
      <alignment horizontal="center" vertical="center"/>
    </xf>
    <xf numFmtId="0" fontId="47" fillId="0" borderId="38" xfId="5" applyFont="1" applyBorder="1" applyAlignment="1" applyProtection="1">
      <alignment horizontal="right" wrapText="1" readingOrder="1"/>
      <protection locked="0"/>
    </xf>
    <xf numFmtId="0" fontId="50" fillId="0" borderId="0" xfId="8" applyFont="1" applyAlignment="1">
      <alignment vertical="center"/>
    </xf>
    <xf numFmtId="171" fontId="50" fillId="0" borderId="45" xfId="8" applyNumberFormat="1" applyFont="1" applyBorder="1" applyAlignment="1">
      <alignment vertical="center"/>
    </xf>
    <xf numFmtId="171" fontId="53" fillId="0" borderId="45" xfId="8" applyNumberFormat="1" applyFont="1" applyBorder="1" applyAlignment="1">
      <alignment horizontal="center" vertical="center"/>
    </xf>
    <xf numFmtId="171" fontId="53" fillId="0" borderId="52" xfId="8" applyNumberFormat="1" applyFont="1" applyBorder="1" applyAlignment="1">
      <alignment horizontal="center" vertical="center"/>
    </xf>
    <xf numFmtId="0" fontId="53" fillId="0" borderId="53" xfId="8" applyFont="1" applyBorder="1" applyAlignment="1">
      <alignment horizontal="center" vertical="center"/>
    </xf>
    <xf numFmtId="0" fontId="53" fillId="0" borderId="54" xfId="8" applyFont="1" applyBorder="1" applyAlignment="1">
      <alignment horizontal="center" vertical="center"/>
    </xf>
    <xf numFmtId="0" fontId="53" fillId="0" borderId="55" xfId="8" applyFont="1" applyBorder="1" applyAlignment="1">
      <alignment horizontal="center" vertical="center"/>
    </xf>
    <xf numFmtId="171" fontId="50" fillId="0" borderId="56" xfId="8" applyNumberFormat="1" applyFont="1" applyBorder="1" applyAlignment="1">
      <alignment vertical="center"/>
    </xf>
    <xf numFmtId="0" fontId="50" fillId="0" borderId="57" xfId="8" applyFont="1" applyBorder="1" applyAlignment="1">
      <alignment vertical="center"/>
    </xf>
    <xf numFmtId="0" fontId="50" fillId="0" borderId="41" xfId="8" applyFont="1" applyBorder="1" applyAlignment="1">
      <alignment vertical="center"/>
    </xf>
    <xf numFmtId="0" fontId="50" fillId="0" borderId="58" xfId="8" applyFont="1" applyBorder="1" applyAlignment="1">
      <alignment vertical="center"/>
    </xf>
    <xf numFmtId="171" fontId="50" fillId="0" borderId="59" xfId="8" applyNumberFormat="1" applyFont="1" applyBorder="1" applyAlignment="1">
      <alignment vertical="center"/>
    </xf>
    <xf numFmtId="0" fontId="50" fillId="0" borderId="60" xfId="8" applyFont="1" applyBorder="1" applyAlignment="1">
      <alignment horizontal="right" vertical="center"/>
    </xf>
    <xf numFmtId="0" fontId="50" fillId="0" borderId="9" xfId="8" applyFont="1" applyBorder="1" applyAlignment="1">
      <alignment horizontal="right" vertical="center"/>
    </xf>
    <xf numFmtId="0" fontId="50" fillId="0" borderId="61" xfId="8" applyFont="1" applyBorder="1" applyAlignment="1">
      <alignment vertical="center"/>
    </xf>
    <xf numFmtId="0" fontId="50" fillId="0" borderId="60" xfId="8" applyFont="1" applyBorder="1" applyAlignment="1">
      <alignment vertical="center"/>
    </xf>
    <xf numFmtId="0" fontId="50" fillId="0" borderId="9" xfId="8" applyFont="1" applyBorder="1" applyAlignment="1">
      <alignment vertical="center"/>
    </xf>
    <xf numFmtId="171" fontId="50" fillId="0" borderId="62" xfId="8" applyNumberFormat="1" applyFont="1" applyBorder="1" applyAlignment="1">
      <alignment vertical="center"/>
    </xf>
    <xf numFmtId="0" fontId="50" fillId="0" borderId="63" xfId="8" applyFont="1" applyBorder="1" applyAlignment="1">
      <alignment vertical="center"/>
    </xf>
    <xf numFmtId="0" fontId="50" fillId="0" borderId="64" xfId="8" applyFont="1" applyBorder="1" applyAlignment="1">
      <alignment vertical="center"/>
    </xf>
    <xf numFmtId="0" fontId="50" fillId="0" borderId="65" xfId="8" applyFont="1" applyBorder="1" applyAlignment="1">
      <alignment vertical="center"/>
    </xf>
    <xf numFmtId="0" fontId="50" fillId="0" borderId="66" xfId="8" applyFont="1" applyBorder="1" applyAlignment="1">
      <alignment horizontal="center" vertical="center"/>
    </xf>
    <xf numFmtId="0" fontId="50" fillId="0" borderId="45" xfId="8" applyFont="1" applyBorder="1" applyAlignment="1">
      <alignment horizontal="center" vertical="center" wrapText="1"/>
    </xf>
    <xf numFmtId="0" fontId="50" fillId="0" borderId="69" xfId="8" applyFont="1" applyBorder="1" applyAlignment="1">
      <alignment horizontal="center" vertical="center"/>
    </xf>
    <xf numFmtId="0" fontId="50" fillId="0" borderId="57" xfId="8" applyFont="1" applyBorder="1" applyAlignment="1">
      <alignment horizontal="center" vertical="center"/>
    </xf>
    <xf numFmtId="0" fontId="50" fillId="0" borderId="58" xfId="8" applyFont="1" applyBorder="1" applyAlignment="1">
      <alignment horizontal="center" vertical="center"/>
    </xf>
    <xf numFmtId="171" fontId="50" fillId="0" borderId="69" xfId="8" applyNumberFormat="1" applyFont="1" applyBorder="1" applyAlignment="1">
      <alignment vertical="center"/>
    </xf>
    <xf numFmtId="0" fontId="13" fillId="2" borderId="11" xfId="0" applyFont="1" applyFill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24" fillId="6" borderId="0" xfId="4" applyFont="1" applyFill="1" applyAlignment="1">
      <alignment horizontal="center" vertical="center"/>
    </xf>
    <xf numFmtId="0" fontId="25" fillId="6" borderId="0" xfId="4" applyFont="1" applyFill="1" applyAlignment="1">
      <alignment horizontal="center" vertical="center"/>
    </xf>
    <xf numFmtId="0" fontId="24" fillId="6" borderId="0" xfId="4" applyFont="1" applyFill="1" applyAlignment="1">
      <alignment horizontal="center" vertical="top"/>
    </xf>
    <xf numFmtId="0" fontId="24" fillId="6" borderId="0" xfId="4" applyFont="1" applyFill="1" applyAlignment="1">
      <alignment horizontal="left" vertical="top"/>
    </xf>
    <xf numFmtId="167" fontId="30" fillId="0" borderId="0" xfId="1" applyNumberFormat="1" applyFont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38" fillId="4" borderId="9" xfId="0" applyFont="1" applyFill="1" applyBorder="1" applyAlignment="1">
      <alignment horizontal="center"/>
    </xf>
    <xf numFmtId="0" fontId="38" fillId="4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/>
    </xf>
    <xf numFmtId="10" fontId="22" fillId="0" borderId="20" xfId="3" applyNumberFormat="1" applyFont="1" applyBorder="1" applyAlignment="1">
      <alignment horizontal="right" vertical="center" wrapText="1"/>
    </xf>
    <xf numFmtId="10" fontId="22" fillId="0" borderId="22" xfId="3" applyNumberFormat="1" applyFont="1" applyBorder="1" applyAlignment="1">
      <alignment horizontal="right" vertical="center" wrapText="1"/>
    </xf>
    <xf numFmtId="169" fontId="22" fillId="0" borderId="20" xfId="3" applyNumberFormat="1" applyFont="1" applyBorder="1" applyAlignment="1">
      <alignment horizontal="center" vertical="center" wrapText="1"/>
    </xf>
    <xf numFmtId="169" fontId="22" fillId="0" borderId="22" xfId="3" applyNumberFormat="1" applyFont="1" applyBorder="1" applyAlignment="1">
      <alignment horizontal="center" vertical="center" wrapText="1"/>
    </xf>
    <xf numFmtId="0" fontId="26" fillId="0" borderId="0" xfId="3" applyFont="1" applyAlignment="1">
      <alignment horizontal="right" vertical="center"/>
    </xf>
    <xf numFmtId="0" fontId="21" fillId="0" borderId="20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0" borderId="22" xfId="3" applyFont="1" applyBorder="1" applyAlignment="1">
      <alignment horizontal="left" vertical="center" wrapText="1"/>
    </xf>
    <xf numFmtId="10" fontId="21" fillId="0" borderId="23" xfId="3" applyNumberFormat="1" applyFont="1" applyBorder="1" applyAlignment="1">
      <alignment horizontal="right" vertical="center" wrapText="1"/>
    </xf>
    <xf numFmtId="10" fontId="21" fillId="0" borderId="24" xfId="3" applyNumberFormat="1" applyFont="1" applyBorder="1" applyAlignment="1">
      <alignment horizontal="right" vertical="center" wrapText="1"/>
    </xf>
    <xf numFmtId="0" fontId="21" fillId="0" borderId="20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10" fontId="21" fillId="0" borderId="20" xfId="3" applyNumberFormat="1" applyFont="1" applyBorder="1" applyAlignment="1">
      <alignment horizontal="right" vertical="center" wrapText="1"/>
    </xf>
    <xf numFmtId="10" fontId="21" fillId="0" borderId="22" xfId="3" applyNumberFormat="1" applyFont="1" applyBorder="1" applyAlignment="1">
      <alignment horizontal="right" vertical="center" wrapText="1"/>
    </xf>
    <xf numFmtId="169" fontId="21" fillId="0" borderId="20" xfId="3" applyNumberFormat="1" applyFont="1" applyBorder="1" applyAlignment="1">
      <alignment horizontal="center" vertical="center" wrapText="1"/>
    </xf>
    <xf numFmtId="169" fontId="21" fillId="0" borderId="22" xfId="3" applyNumberFormat="1" applyFont="1" applyBorder="1" applyAlignment="1">
      <alignment horizontal="center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4" borderId="26" xfId="3" applyFont="1" applyFill="1" applyBorder="1" applyAlignment="1">
      <alignment horizontal="center" vertical="center" wrapText="1"/>
    </xf>
    <xf numFmtId="0" fontId="22" fillId="4" borderId="19" xfId="3" applyFont="1" applyFill="1" applyBorder="1" applyAlignment="1">
      <alignment horizontal="center" vertical="center" wrapText="1"/>
    </xf>
    <xf numFmtId="0" fontId="22" fillId="4" borderId="27" xfId="3" applyFont="1" applyFill="1" applyBorder="1" applyAlignment="1">
      <alignment horizontal="center" vertical="center" wrapText="1"/>
    </xf>
    <xf numFmtId="0" fontId="22" fillId="4" borderId="28" xfId="3" applyFont="1" applyFill="1" applyBorder="1" applyAlignment="1">
      <alignment horizontal="center" vertical="center" wrapText="1"/>
    </xf>
    <xf numFmtId="0" fontId="22" fillId="4" borderId="29" xfId="3" applyFont="1" applyFill="1" applyBorder="1" applyAlignment="1">
      <alignment horizontal="center" vertical="center" wrapText="1"/>
    </xf>
    <xf numFmtId="0" fontId="22" fillId="4" borderId="30" xfId="3" applyFont="1" applyFill="1" applyBorder="1" applyAlignment="1">
      <alignment horizontal="center" vertical="center" wrapText="1"/>
    </xf>
    <xf numFmtId="0" fontId="22" fillId="4" borderId="23" xfId="3" applyFont="1" applyFill="1" applyBorder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2" fillId="4" borderId="25" xfId="3" applyFont="1" applyFill="1" applyBorder="1" applyAlignment="1">
      <alignment horizontal="center" vertical="center" textRotation="90" wrapText="1"/>
    </xf>
    <xf numFmtId="0" fontId="22" fillId="4" borderId="26" xfId="3" applyFont="1" applyFill="1" applyBorder="1" applyAlignment="1">
      <alignment horizontal="center" vertical="center" textRotation="90" wrapText="1"/>
    </xf>
    <xf numFmtId="0" fontId="22" fillId="4" borderId="0" xfId="3" applyFont="1" applyFill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/>
    </xf>
    <xf numFmtId="0" fontId="51" fillId="0" borderId="44" xfId="8" applyFont="1" applyBorder="1" applyAlignment="1">
      <alignment horizontal="center" vertical="center"/>
    </xf>
    <xf numFmtId="0" fontId="52" fillId="0" borderId="46" xfId="8" applyFont="1" applyBorder="1" applyAlignment="1">
      <alignment horizontal="center" vertical="center"/>
    </xf>
    <xf numFmtId="0" fontId="52" fillId="0" borderId="47" xfId="8" applyFont="1" applyBorder="1" applyAlignment="1">
      <alignment horizontal="center" vertical="center"/>
    </xf>
    <xf numFmtId="0" fontId="52" fillId="0" borderId="48" xfId="8" applyFont="1" applyBorder="1" applyAlignment="1">
      <alignment horizontal="center" vertical="center"/>
    </xf>
    <xf numFmtId="0" fontId="50" fillId="0" borderId="49" xfId="8" applyFont="1" applyBorder="1" applyAlignment="1">
      <alignment horizontal="center" vertical="center"/>
    </xf>
    <xf numFmtId="0" fontId="50" fillId="0" borderId="50" xfId="8" applyFont="1" applyBorder="1" applyAlignment="1">
      <alignment horizontal="center" vertical="center"/>
    </xf>
    <xf numFmtId="0" fontId="50" fillId="0" borderId="51" xfId="8" applyFont="1" applyBorder="1" applyAlignment="1">
      <alignment horizontal="center" vertical="center"/>
    </xf>
    <xf numFmtId="0" fontId="50" fillId="0" borderId="46" xfId="8" applyFont="1" applyBorder="1" applyAlignment="1">
      <alignment horizontal="center" vertical="center" wrapText="1"/>
    </xf>
    <xf numFmtId="0" fontId="50" fillId="0" borderId="48" xfId="8" applyFont="1" applyBorder="1" applyAlignment="1">
      <alignment horizontal="center" vertical="center" wrapText="1"/>
    </xf>
    <xf numFmtId="0" fontId="50" fillId="0" borderId="67" xfId="8" applyFont="1" applyBorder="1" applyAlignment="1">
      <alignment horizontal="center" vertical="center" wrapText="1"/>
    </xf>
    <xf numFmtId="0" fontId="50" fillId="0" borderId="68" xfId="8" applyFont="1" applyBorder="1" applyAlignment="1">
      <alignment horizontal="center" vertical="center" wrapText="1"/>
    </xf>
    <xf numFmtId="0" fontId="46" fillId="10" borderId="34" xfId="5" applyFont="1" applyFill="1" applyBorder="1" applyAlignment="1" applyProtection="1">
      <alignment horizontal="center" vertical="center" wrapText="1" readingOrder="1"/>
      <protection locked="0"/>
    </xf>
    <xf numFmtId="0" fontId="46" fillId="11" borderId="34" xfId="5" applyFont="1" applyFill="1" applyBorder="1" applyAlignment="1">
      <alignment horizontal="center" vertical="center"/>
    </xf>
    <xf numFmtId="0" fontId="46" fillId="10" borderId="35" xfId="5" applyFont="1" applyFill="1" applyBorder="1" applyAlignment="1" applyProtection="1">
      <alignment horizontal="center" vertical="center" wrapText="1" readingOrder="1"/>
      <protection locked="0"/>
    </xf>
    <xf numFmtId="0" fontId="46" fillId="10" borderId="36" xfId="5" applyFont="1" applyFill="1" applyBorder="1" applyAlignment="1" applyProtection="1">
      <alignment horizontal="center" vertical="center" wrapText="1" readingOrder="1"/>
      <protection locked="0"/>
    </xf>
    <xf numFmtId="0" fontId="46" fillId="11" borderId="34" xfId="5" applyFont="1" applyFill="1" applyBorder="1" applyAlignment="1" applyProtection="1">
      <alignment horizontal="center" vertical="center" wrapText="1"/>
      <protection locked="0"/>
    </xf>
    <xf numFmtId="0" fontId="49" fillId="11" borderId="42" xfId="5" applyFont="1" applyFill="1" applyBorder="1" applyAlignment="1">
      <alignment horizontal="center" vertical="center"/>
    </xf>
    <xf numFmtId="0" fontId="49" fillId="11" borderId="43" xfId="5" applyFont="1" applyFill="1" applyBorder="1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46" fillId="11" borderId="34" xfId="5" applyFont="1" applyFill="1" applyBorder="1" applyAlignment="1" applyProtection="1">
      <alignment vertical="top" wrapText="1"/>
      <protection locked="0"/>
    </xf>
    <xf numFmtId="0" fontId="54" fillId="0" borderId="1" xfId="0" applyFont="1" applyBorder="1"/>
  </cellXfs>
  <cellStyles count="9">
    <cellStyle name="Comma" xfId="1" builtinId="3"/>
    <cellStyle name="Comma 2" xfId="6"/>
    <cellStyle name="Normal" xfId="0" builtinId="0"/>
    <cellStyle name="Normal 2" xfId="2"/>
    <cellStyle name="Normal 2 2" xfId="3"/>
    <cellStyle name="Normal 2 2 2" xfId="4"/>
    <cellStyle name="Normal 3" xfId="5"/>
    <cellStyle name="Normal 3 2" xfId="7"/>
    <cellStyle name="Normal 4" xfId="8"/>
  </cellStyles>
  <dxfs count="0"/>
  <tableStyles count="0" defaultTableStyle="TableStyleMedium2" defaultPivotStyle="PivotStyleLight16"/>
  <colors>
    <mruColors>
      <color rgb="FF0070C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365089</xdr:colOff>
      <xdr:row>3</xdr:row>
      <xdr:rowOff>155596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0" y="0"/>
          <a:ext cx="1076325" cy="9620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\Temporary%20Internet%20Files\OLKA222\KHM-BOP%20December%2018%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LAO\MON\LAO_MSURVE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\Temporary%20Internet%20Files\OLKA222\Real_nis%20(November%20200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%20Net/Downloads/Telegram%20Desktop/Year%20Book%202003%20Final/In%20chapters/WIN/Temporary%20Internet%20Files/OLKA222/Real_nis%20(November%2020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Telegram%20Desktop/Year%20Book%202003%20Final/In%20chapters/WIN/Temporary%20Internet%20Files/OLKA222/Real_nis%20(November%2020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%20Net/Downloads/Telegram%20Desktop/Year%20Book%202003%20Final/In%20chapters/lao/LAO_MSURVE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Telegram%20Desktop/Year%20Book%202003%20Final/In%20chapters/lao/LAO_MSURVE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o\LAO_MSURVE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LAO\REAL\LAO_GD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ldCData\DATA\Laos\laofiscal\LAO_fiscal_P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%20Net/Downloads/Telegram%20Desktop/Year%20Book%202003%20Final/In%20chapters/DATA/LAO/REAL/LAO_GD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Telegram%20Desktop/Year%20Book%202003%20Final/In%20chapters/DATA/LAO/REAL/LAO_G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O"/>
      <sheetName val="Macro"/>
      <sheetName val="Para"/>
      <sheetName val="BOP"/>
      <sheetName val="BOP-2"/>
      <sheetName val="BOP-3"/>
      <sheetName val="EXTF"/>
      <sheetName val="EX"/>
      <sheetName val="garment"/>
      <sheetName val="IM"/>
      <sheetName val="Sv"/>
      <sheetName val="FDI"/>
      <sheetName val="TR"/>
      <sheetName val="Bi"/>
      <sheetName val="Mult"/>
      <sheetName val="IMF"/>
      <sheetName val="WB"/>
      <sheetName val="ADB"/>
      <sheetName val="pri"/>
      <sheetName val="int"/>
      <sheetName val="TDS"/>
      <sheetName val="DOD"/>
      <sheetName val="NPV"/>
      <sheetName val="US data"/>
      <sheetName val="US arrears"/>
      <sheetName val="Rus"/>
      <sheetName val="Relief"/>
      <sheetName val="MedTerm"/>
      <sheetName val="T1"/>
      <sheetName val="T2"/>
      <sheetName val="T3"/>
      <sheetName val="restr.TDS"/>
      <sheetName val="restr.NPV"/>
      <sheetName val="chart"/>
      <sheetName val="capacity1"/>
      <sheetName val="capacity2"/>
      <sheetName val="SAT21"/>
      <sheetName val="SAT22"/>
      <sheetName val="SAT23"/>
      <sheetName val="SAT24"/>
      <sheetName val="SAT25"/>
      <sheetName val="SAT26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Links"/>
      <sheetName val="Input"/>
      <sheetName val="ControlSheet"/>
      <sheetName val="Input (FR)"/>
      <sheetName val="Input (loans)"/>
      <sheetName val="Input (WD)"/>
      <sheetName val="Input (TB)"/>
      <sheetName val="Mon.Survey (IMF)"/>
      <sheetName val="MS (long)"/>
      <sheetName val="MS (short)"/>
      <sheetName val="Credits"/>
      <sheetName val="FC Credit"/>
      <sheetName val="Money"/>
      <sheetName val="BOL BS"/>
      <sheetName val="OBI BS"/>
      <sheetName val="Projection"/>
      <sheetName val="Summary"/>
      <sheetName val="Performance"/>
      <sheetName val="Output table"/>
      <sheetName val="Input from other files"/>
      <sheetName val="Input (BOL)"/>
      <sheetName val="Input (OBI)"/>
      <sheetName val="Input (reserves)"/>
      <sheetName val="Input (weekly data)"/>
      <sheetName val="Input (bills)"/>
      <sheetName val="Monetary Survey"/>
      <sheetName val="Valuation adjustment"/>
      <sheetName val="BOL Credit"/>
      <sheetName val="Sheet1"/>
      <sheetName val="Val.adj"/>
      <sheetName val="ER adjusted"/>
      <sheetName val="Monito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Contents</v>
          </cell>
        </row>
      </sheetData>
      <sheetData sheetId="13"/>
      <sheetData sheetId="14"/>
      <sheetData sheetId="15"/>
      <sheetData sheetId="16">
        <row r="3">
          <cell r="O3" t="str">
            <v>... September forecast</v>
          </cell>
        </row>
        <row r="4">
          <cell r="L4">
            <v>2000</v>
          </cell>
        </row>
        <row r="5">
          <cell r="O5" t="str">
            <v>Dec</v>
          </cell>
        </row>
        <row r="6">
          <cell r="O6">
            <v>8.0850000000000009</v>
          </cell>
        </row>
        <row r="10">
          <cell r="O10">
            <v>757.74799999999993</v>
          </cell>
        </row>
        <row r="11">
          <cell r="O11">
            <v>1118.8</v>
          </cell>
        </row>
        <row r="12">
          <cell r="O12">
            <v>1656.8074347996685</v>
          </cell>
        </row>
        <row r="13">
          <cell r="O13">
            <v>838.97143612081049</v>
          </cell>
        </row>
        <row r="14">
          <cell r="O14">
            <v>817.83599867885812</v>
          </cell>
        </row>
        <row r="15">
          <cell r="O15">
            <v>631.97900000000004</v>
          </cell>
        </row>
        <row r="16">
          <cell r="O16">
            <v>588.42506520033157</v>
          </cell>
        </row>
        <row r="17">
          <cell r="O17">
            <v>1324.2294586013384</v>
          </cell>
        </row>
        <row r="18">
          <cell r="O18">
            <v>-270</v>
          </cell>
        </row>
        <row r="19">
          <cell r="O19">
            <v>155.63899999999998</v>
          </cell>
        </row>
        <row r="20">
          <cell r="O20">
            <v>54.591999999999999</v>
          </cell>
        </row>
        <row r="21">
          <cell r="O21">
            <v>-424.58699999999999</v>
          </cell>
        </row>
        <row r="22">
          <cell r="O22">
            <v>1594.2294586013384</v>
          </cell>
        </row>
        <row r="23">
          <cell r="O23">
            <v>918.55499999999995</v>
          </cell>
        </row>
        <row r="24">
          <cell r="O24">
            <v>943.29445860133842</v>
          </cell>
        </row>
        <row r="25">
          <cell r="O25">
            <v>650.93499999999995</v>
          </cell>
        </row>
        <row r="26">
          <cell r="O26">
            <v>-735.80439340100679</v>
          </cell>
        </row>
        <row r="27">
          <cell r="O27">
            <v>27.30439340100682</v>
          </cell>
        </row>
        <row r="28">
          <cell r="O28">
            <v>348.70600000000002</v>
          </cell>
        </row>
        <row r="29">
          <cell r="O29">
            <v>-159.82300000000001</v>
          </cell>
        </row>
        <row r="31">
          <cell r="O31">
            <v>-416.31400000000008</v>
          </cell>
        </row>
        <row r="32">
          <cell r="O32">
            <v>2245.2325000000001</v>
          </cell>
        </row>
        <row r="33">
          <cell r="O33">
            <v>-197.864</v>
          </cell>
        </row>
        <row r="34">
          <cell r="O34">
            <v>291.8125</v>
          </cell>
        </row>
        <row r="35">
          <cell r="O35">
            <v>55</v>
          </cell>
        </row>
        <row r="36">
          <cell r="O36">
            <v>236.8125</v>
          </cell>
        </row>
        <row r="38">
          <cell r="O38">
            <v>1953.42</v>
          </cell>
        </row>
        <row r="39">
          <cell r="O39">
            <v>199.5</v>
          </cell>
        </row>
        <row r="40">
          <cell r="O40">
            <v>1753.92</v>
          </cell>
        </row>
        <row r="41">
          <cell r="O41">
            <v>78.117522350135232</v>
          </cell>
        </row>
        <row r="42">
          <cell r="O42">
            <v>819</v>
          </cell>
        </row>
        <row r="43">
          <cell r="O43">
            <v>73.87</v>
          </cell>
        </row>
        <row r="44">
          <cell r="O44">
            <v>350.55500000000006</v>
          </cell>
        </row>
        <row r="45">
          <cell r="O45">
            <v>253.596</v>
          </cell>
        </row>
        <row r="48">
          <cell r="O48">
            <v>8.0850000000000009</v>
          </cell>
        </row>
        <row r="59">
          <cell r="O59">
            <v>93.722696351267757</v>
          </cell>
        </row>
        <row r="60">
          <cell r="O60">
            <v>138.37971552257264</v>
          </cell>
        </row>
        <row r="61">
          <cell r="O61">
            <v>-44.657019171304881</v>
          </cell>
        </row>
        <row r="65">
          <cell r="O65">
            <v>723.73854016545658</v>
          </cell>
        </row>
        <row r="66">
          <cell r="O66">
            <v>1062.0727342963689</v>
          </cell>
        </row>
        <row r="67">
          <cell r="O67">
            <v>338.33419413091235</v>
          </cell>
        </row>
        <row r="69">
          <cell r="O69">
            <v>438.05505970333161</v>
          </cell>
        </row>
        <row r="70">
          <cell r="O70">
            <v>597.87805970333159</v>
          </cell>
        </row>
        <row r="71">
          <cell r="O71">
            <v>-253.89807974943344</v>
          </cell>
        </row>
        <row r="72">
          <cell r="O72">
            <v>320.81165258909664</v>
          </cell>
        </row>
        <row r="73">
          <cell r="O73">
            <v>132.44009076332017</v>
          </cell>
        </row>
        <row r="74">
          <cell r="O74">
            <v>398.52439610034821</v>
          </cell>
        </row>
        <row r="75">
          <cell r="O75">
            <v>-159.82300000000001</v>
          </cell>
        </row>
        <row r="76">
          <cell r="O76">
            <v>197.4807917728788</v>
          </cell>
        </row>
        <row r="77">
          <cell r="O77">
            <v>100</v>
          </cell>
        </row>
        <row r="78">
          <cell r="O78">
            <v>97.480791772878803</v>
          </cell>
        </row>
        <row r="79">
          <cell r="O79">
            <v>109.48584903523813</v>
          </cell>
        </row>
        <row r="80">
          <cell r="O80">
            <v>209.05598504159784</v>
          </cell>
        </row>
        <row r="81">
          <cell r="O81">
            <v>0.46629036596815027</v>
          </cell>
        </row>
        <row r="83">
          <cell r="O83">
            <v>819</v>
          </cell>
        </row>
        <row r="84">
          <cell r="O84">
            <v>2.7414316239316241</v>
          </cell>
        </row>
        <row r="85">
          <cell r="O85">
            <v>-39.839455782312925</v>
          </cell>
        </row>
        <row r="86">
          <cell r="O86">
            <v>6.7522572665429799</v>
          </cell>
        </row>
        <row r="87">
          <cell r="O87">
            <v>-46.591713048855901</v>
          </cell>
        </row>
        <row r="88">
          <cell r="O88">
            <v>41.540630797773652</v>
          </cell>
        </row>
        <row r="89">
          <cell r="O89">
            <v>8.3897143612081049</v>
          </cell>
        </row>
        <row r="90">
          <cell r="O90">
            <v>43.129993815708097</v>
          </cell>
        </row>
        <row r="93">
          <cell r="O93">
            <v>719.50199999999984</v>
          </cell>
        </row>
        <row r="94">
          <cell r="O94">
            <v>1063.1609999999998</v>
          </cell>
        </row>
        <row r="95">
          <cell r="O95">
            <v>-343.65899999999999</v>
          </cell>
        </row>
        <row r="97">
          <cell r="O97">
            <v>1690.4479999999999</v>
          </cell>
        </row>
        <row r="98">
          <cell r="O98">
            <v>1025.9470000000001</v>
          </cell>
        </row>
        <row r="99">
          <cell r="O99">
            <v>-98.575999999999993</v>
          </cell>
        </row>
        <row r="100">
          <cell r="O100">
            <v>7.5209999999999999</v>
          </cell>
        </row>
        <row r="101">
          <cell r="O101">
            <v>-106.09699999999999</v>
          </cell>
        </row>
        <row r="102">
          <cell r="O102">
            <v>287.64499999999998</v>
          </cell>
        </row>
        <row r="103">
          <cell r="O103">
            <v>935.45400000000006</v>
          </cell>
        </row>
        <row r="104">
          <cell r="O104">
            <v>1223.0990000000002</v>
          </cell>
        </row>
        <row r="106">
          <cell r="O106">
            <v>664.50099999999986</v>
          </cell>
        </row>
        <row r="107">
          <cell r="O107">
            <v>-441.79700000000003</v>
          </cell>
        </row>
        <row r="108">
          <cell r="O108">
            <v>-219.358</v>
          </cell>
        </row>
        <row r="109">
          <cell r="O109">
            <v>-520.59900000000005</v>
          </cell>
        </row>
        <row r="110">
          <cell r="O110">
            <v>-0.23799999999999999</v>
          </cell>
        </row>
        <row r="111">
          <cell r="O111">
            <v>637.06200000000001</v>
          </cell>
        </row>
        <row r="112">
          <cell r="O112">
            <v>767.63400000000001</v>
          </cell>
        </row>
        <row r="114">
          <cell r="O114">
            <v>2066.7289999999998</v>
          </cell>
        </row>
        <row r="115">
          <cell r="O115">
            <v>2.4496349487191189</v>
          </cell>
        </row>
        <row r="116">
          <cell r="O116">
            <v>10.547348659882662</v>
          </cell>
        </row>
        <row r="117">
          <cell r="O117">
            <v>8.8854940412629873</v>
          </cell>
        </row>
        <row r="118">
          <cell r="O118">
            <v>78.117522350135232</v>
          </cell>
        </row>
        <row r="119">
          <cell r="O119">
            <v>12.996983608601781</v>
          </cell>
        </row>
        <row r="120">
          <cell r="O120">
            <v>87.003016391398219</v>
          </cell>
        </row>
        <row r="121">
          <cell r="O121">
            <v>36.477291327290153</v>
          </cell>
        </row>
        <row r="122">
          <cell r="O122">
            <v>-42.505751391465672</v>
          </cell>
        </row>
        <row r="123">
          <cell r="O123">
            <v>204.00259740259736</v>
          </cell>
        </row>
        <row r="127">
          <cell r="O127">
            <v>1477.2499999999998</v>
          </cell>
        </row>
        <row r="128">
          <cell r="O128">
            <v>757.74799999999993</v>
          </cell>
        </row>
        <row r="129">
          <cell r="O129">
            <v>719.50199999999984</v>
          </cell>
        </row>
        <row r="131">
          <cell r="O131">
            <v>633.64599999999973</v>
          </cell>
        </row>
        <row r="132">
          <cell r="O132">
            <v>1335.75</v>
          </cell>
        </row>
        <row r="133">
          <cell r="O133">
            <v>-367.524</v>
          </cell>
        </row>
        <row r="134">
          <cell r="O134">
            <v>-375.47500000000002</v>
          </cell>
        </row>
        <row r="135">
          <cell r="O135">
            <v>7.9510000000000218</v>
          </cell>
        </row>
        <row r="136">
          <cell r="O136">
            <v>530.68399999999997</v>
          </cell>
        </row>
        <row r="137">
          <cell r="O137">
            <v>430.06700000000001</v>
          </cell>
        </row>
        <row r="138">
          <cell r="O138">
            <v>163.15999999999997</v>
          </cell>
        </row>
        <row r="139">
          <cell r="O139">
            <v>54.591999999999999</v>
          </cell>
        </row>
        <row r="141">
          <cell r="O141">
            <v>1703.2739999999999</v>
          </cell>
        </row>
        <row r="142">
          <cell r="O142">
            <v>1376.0010000000002</v>
          </cell>
        </row>
        <row r="143">
          <cell r="O143">
            <v>1076.6029999999998</v>
          </cell>
        </row>
        <row r="144">
          <cell r="O144">
            <v>808.06900000000007</v>
          </cell>
        </row>
        <row r="145">
          <cell r="O145">
            <v>626.67100000000005</v>
          </cell>
        </row>
        <row r="146">
          <cell r="O146">
            <v>567.93200000000002</v>
          </cell>
        </row>
        <row r="147">
          <cell r="O147">
            <v>-702.10400000000027</v>
          </cell>
        </row>
        <row r="149">
          <cell r="O149">
            <v>-197.864</v>
          </cell>
        </row>
        <row r="154">
          <cell r="O154">
            <v>2110.8969999999999</v>
          </cell>
        </row>
        <row r="156">
          <cell r="O156">
            <v>266.90100000000001</v>
          </cell>
        </row>
        <row r="157">
          <cell r="O157">
            <v>44.167999999999999</v>
          </cell>
        </row>
        <row r="158">
          <cell r="O158">
            <v>222.733</v>
          </cell>
        </row>
        <row r="159">
          <cell r="O159">
            <v>1843.9959999999999</v>
          </cell>
        </row>
        <row r="160">
          <cell r="O160">
            <v>194.63499999999999</v>
          </cell>
        </row>
        <row r="161">
          <cell r="O161">
            <v>1649.3609999999999</v>
          </cell>
        </row>
        <row r="162">
          <cell r="O162">
            <v>78.135550905610259</v>
          </cell>
        </row>
        <row r="163">
          <cell r="O163">
            <v>813.58899999999994</v>
          </cell>
        </row>
        <row r="192">
          <cell r="O192">
            <v>8.0850000000000009</v>
          </cell>
        </row>
        <row r="193">
          <cell r="O193">
            <v>7.9775</v>
          </cell>
        </row>
        <row r="196">
          <cell r="O196">
            <v>182.71490414347551</v>
          </cell>
        </row>
        <row r="197">
          <cell r="O197">
            <v>93.722696351267757</v>
          </cell>
        </row>
        <row r="198">
          <cell r="O198">
            <v>31.366233766233762</v>
          </cell>
        </row>
        <row r="199">
          <cell r="O199">
            <v>88.992207792207765</v>
          </cell>
        </row>
        <row r="200">
          <cell r="O200">
            <v>183.69635126777985</v>
          </cell>
        </row>
        <row r="201">
          <cell r="O201">
            <v>204.00259740259736</v>
          </cell>
        </row>
        <row r="202">
          <cell r="O202">
            <v>-46.440940012368578</v>
          </cell>
        </row>
        <row r="203">
          <cell r="O203">
            <v>6.7522572665429799</v>
          </cell>
        </row>
        <row r="204">
          <cell r="O204">
            <v>53.193197278911562</v>
          </cell>
        </row>
        <row r="207">
          <cell r="O207">
            <v>70.245145330859614</v>
          </cell>
        </row>
        <row r="208">
          <cell r="O208">
            <v>99.946691403834265</v>
          </cell>
        </row>
        <row r="209">
          <cell r="O209">
            <v>41.540630797773652</v>
          </cell>
        </row>
        <row r="212">
          <cell r="O212">
            <v>-97.726571353412055</v>
          </cell>
        </row>
        <row r="213">
          <cell r="O213">
            <v>0</v>
          </cell>
        </row>
        <row r="214">
          <cell r="O214">
            <v>0.4362307584573662</v>
          </cell>
        </row>
        <row r="216">
          <cell r="O216">
            <v>2.5945495821600342</v>
          </cell>
        </row>
        <row r="223">
          <cell r="O223">
            <v>9.7290528069013718</v>
          </cell>
        </row>
        <row r="248">
          <cell r="O248">
            <v>2.0923806324988856</v>
          </cell>
        </row>
        <row r="249">
          <cell r="O249">
            <v>10.551580678735155</v>
          </cell>
        </row>
        <row r="250">
          <cell r="O250">
            <v>9.2204877831556917</v>
          </cell>
        </row>
        <row r="251">
          <cell r="O251">
            <v>78.135550905610259</v>
          </cell>
        </row>
        <row r="252">
          <cell r="O252">
            <v>12.643961311234039</v>
          </cell>
        </row>
        <row r="253">
          <cell r="O253">
            <v>87.356038688765963</v>
          </cell>
        </row>
        <row r="254">
          <cell r="O254">
            <v>38.542335320008512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_GDP-Sect-Curr"/>
      <sheetName val="Input_GDP-Sect-Const"/>
      <sheetName val="gdpdeflators"/>
      <sheetName val="Input_GDP-Expend-Curr"/>
      <sheetName val="Input_GDP-Expend-Const"/>
      <sheetName val="Input_Agric-Curr"/>
      <sheetName val="Input_Agric-Const"/>
      <sheetName val="gdp chart"/>
      <sheetName val="Agriouput"/>
      <sheetName val="Tourism"/>
      <sheetName val="Input_CPI"/>
      <sheetName val="SATAB8"/>
      <sheetName val="CPI chart"/>
      <sheetName val="CPI chart2"/>
      <sheetName val="CPI chart3"/>
      <sheetName val="t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_GDP-Sect-Curr"/>
      <sheetName val="Input_GDP-Sect-Const"/>
      <sheetName val="gdpdeflators"/>
      <sheetName val="Input_GDP-Expend-Curr"/>
      <sheetName val="Input_GDP-Expend-Const"/>
      <sheetName val="Input_Agric-Curr"/>
      <sheetName val="Input_Agric-Const"/>
      <sheetName val="gdp chart"/>
      <sheetName val="Agriouput"/>
      <sheetName val="Tourism"/>
      <sheetName val="Input_CPI"/>
      <sheetName val="SATAB8"/>
      <sheetName val="CPI chart"/>
      <sheetName val="CPI chart2"/>
      <sheetName val="CPI chart3"/>
      <sheetName val="t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_GDP-Sect-Curr"/>
      <sheetName val="Input_GDP-Sect-Const"/>
      <sheetName val="gdpdeflators"/>
      <sheetName val="Input_GDP-Expend-Curr"/>
      <sheetName val="Input_GDP-Expend-Const"/>
      <sheetName val="Input_Agric-Curr"/>
      <sheetName val="Input_Agric-Const"/>
      <sheetName val="gdp chart"/>
      <sheetName val="Agriouput"/>
      <sheetName val="Tourism"/>
      <sheetName val="Input_CPI"/>
      <sheetName val="SATAB8"/>
      <sheetName val="CPI chart"/>
      <sheetName val="CPI chart2"/>
      <sheetName val="CPI chart3"/>
      <sheetName val="t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 from other files"/>
      <sheetName val="Input (BOL)"/>
      <sheetName val="ControlSheet"/>
      <sheetName val="Input (OBI)"/>
      <sheetName val="Input (reserves)"/>
      <sheetName val="Input (loans)"/>
      <sheetName val="Input (weekly data)"/>
      <sheetName val="Input (bills)"/>
      <sheetName val="Monetary Survey"/>
      <sheetName val="MS (long)"/>
      <sheetName val="MS (short)"/>
      <sheetName val="Money"/>
      <sheetName val="Valuation adjustment"/>
      <sheetName val="Projection"/>
      <sheetName val="Output table"/>
      <sheetName val="Performance"/>
      <sheetName val="BOL Credit"/>
      <sheetName val="Sheet1"/>
      <sheetName val="FC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 from other files"/>
      <sheetName val="Input (BOL)"/>
      <sheetName val="ControlSheet"/>
      <sheetName val="Input (OBI)"/>
      <sheetName val="Input (reserves)"/>
      <sheetName val="Input (loans)"/>
      <sheetName val="Input (weekly data)"/>
      <sheetName val="Input (bills)"/>
      <sheetName val="Monetary Survey"/>
      <sheetName val="MS (long)"/>
      <sheetName val="MS (short)"/>
      <sheetName val="Money"/>
      <sheetName val="Valuation adjustment"/>
      <sheetName val="Projection"/>
      <sheetName val="Output table"/>
      <sheetName val="Performance"/>
      <sheetName val="BOL Credit"/>
      <sheetName val="Sheet1"/>
      <sheetName val="FC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 from other files"/>
      <sheetName val="Input (BOL)"/>
      <sheetName val="ControlSheet"/>
      <sheetName val="Input (OBI)"/>
      <sheetName val="Input (reserves)"/>
      <sheetName val="Input (loans)"/>
      <sheetName val="Input (weekly data)"/>
      <sheetName val="Input (bills)"/>
      <sheetName val="Monetary Survey"/>
      <sheetName val="MS (long)"/>
      <sheetName val="MS (short)"/>
      <sheetName val="Money"/>
      <sheetName val="Valuation adjustment"/>
      <sheetName val="Projection"/>
      <sheetName val="Output table"/>
      <sheetName val="Performance"/>
      <sheetName val="BOL Credit"/>
      <sheetName val="Sheet1"/>
      <sheetName val="FC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 from other files"/>
      <sheetName val="Input (general)"/>
      <sheetName val="Input (by sector)"/>
      <sheetName val="Input (commodities)"/>
      <sheetName val="Input (by expenditure)"/>
      <sheetName val="Input (Agr.)"/>
      <sheetName val="GDP"/>
      <sheetName val="GDP Deflator"/>
      <sheetName val="Projections"/>
      <sheetName val="GDP analysis 1999"/>
      <sheetName val="Output table"/>
      <sheetName val="MT S-I Bala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MacIn"/>
      <sheetName val="FisIn"/>
      <sheetName val="FYRev"/>
      <sheetName val="Rev"/>
      <sheetName val="FYExp"/>
      <sheetName val="Exp"/>
      <sheetName val="Fin"/>
      <sheetName val="TBill"/>
      <sheetName val="NCG"/>
      <sheetName val="FYCum"/>
      <sheetName val="IMF Sum"/>
      <sheetName val="GOL Pres"/>
      <sheetName val="AREMOS charts"/>
      <sheetName val="AsDB"/>
      <sheetName val="RGen"/>
      <sheetName val="RRev"/>
      <sheetName val="RED Exp"/>
      <sheetName val="Rw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 from other files"/>
      <sheetName val="Input (general)"/>
      <sheetName val="Input (by sector)"/>
      <sheetName val="Input (commodities)"/>
      <sheetName val="Input (by expenditure)"/>
      <sheetName val="Input (Agr.)"/>
      <sheetName val="GDP"/>
      <sheetName val="GDP Deflator"/>
      <sheetName val="Projections"/>
      <sheetName val="GDP analysis 1999"/>
      <sheetName val="Output table"/>
      <sheetName val="MT S-I Bala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 from other files"/>
      <sheetName val="Input (general)"/>
      <sheetName val="Input (by sector)"/>
      <sheetName val="Input (commodities)"/>
      <sheetName val="Input (by expenditure)"/>
      <sheetName val="Input (Agr.)"/>
      <sheetName val="GDP"/>
      <sheetName val="GDP Deflator"/>
      <sheetName val="Projections"/>
      <sheetName val="GDP analysis 1999"/>
      <sheetName val="Output table"/>
      <sheetName val="MT S-I Bala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7"/>
  <sheetViews>
    <sheetView tabSelected="1" zoomScale="175" zoomScaleNormal="175" workbookViewId="0">
      <selection activeCell="A38" sqref="A38"/>
    </sheetView>
  </sheetViews>
  <sheetFormatPr defaultColWidth="9.1796875" defaultRowHeight="20.5" x14ac:dyDescent="0.85"/>
  <cols>
    <col min="1" max="1" width="10.81640625" style="55" customWidth="1"/>
    <col min="2" max="2" width="93.81640625" style="55" customWidth="1"/>
    <col min="3" max="3" width="24.81640625" style="55" customWidth="1"/>
    <col min="4" max="16384" width="9.1796875" style="55"/>
  </cols>
  <sheetData>
    <row r="1" spans="1:2" x14ac:dyDescent="0.85">
      <c r="B1" s="99"/>
    </row>
    <row r="2" spans="1:2" x14ac:dyDescent="0.85">
      <c r="A2" s="99"/>
      <c r="B2" s="99"/>
    </row>
    <row r="3" spans="1:2" x14ac:dyDescent="0.85">
      <c r="A3" s="99"/>
      <c r="B3" s="99"/>
    </row>
    <row r="4" spans="1:2" x14ac:dyDescent="0.85">
      <c r="A4" s="99"/>
      <c r="B4" s="99"/>
    </row>
    <row r="5" spans="1:2" ht="7.5" customHeight="1" x14ac:dyDescent="0.85">
      <c r="A5" s="99"/>
      <c r="B5" s="99"/>
    </row>
    <row r="6" spans="1:2" x14ac:dyDescent="0.85">
      <c r="A6" s="99" t="s">
        <v>404</v>
      </c>
    </row>
    <row r="7" spans="1:2" s="99" customFormat="1" x14ac:dyDescent="0.85">
      <c r="A7" s="102" t="s">
        <v>346</v>
      </c>
      <c r="B7" s="102" t="s">
        <v>382</v>
      </c>
    </row>
    <row r="8" spans="1:2" ht="23.25" customHeight="1" x14ac:dyDescent="0.85">
      <c r="A8" s="120" t="s">
        <v>21</v>
      </c>
      <c r="B8" s="128" t="s">
        <v>411</v>
      </c>
    </row>
    <row r="9" spans="1:2" ht="1.5" customHeight="1" x14ac:dyDescent="0.85">
      <c r="A9" s="100"/>
      <c r="B9" s="100"/>
    </row>
    <row r="10" spans="1:2" x14ac:dyDescent="0.85">
      <c r="A10" s="101" t="s">
        <v>383</v>
      </c>
      <c r="B10" s="100" t="s">
        <v>347</v>
      </c>
    </row>
    <row r="11" spans="1:2" x14ac:dyDescent="0.85">
      <c r="A11" s="101" t="s">
        <v>353</v>
      </c>
      <c r="B11" s="100" t="s">
        <v>348</v>
      </c>
    </row>
    <row r="12" spans="1:2" x14ac:dyDescent="0.85">
      <c r="A12" s="101" t="s">
        <v>354</v>
      </c>
      <c r="B12" s="100" t="s">
        <v>349</v>
      </c>
    </row>
    <row r="13" spans="1:2" x14ac:dyDescent="0.85">
      <c r="A13" s="101" t="s">
        <v>355</v>
      </c>
      <c r="B13" s="100" t="s">
        <v>350</v>
      </c>
    </row>
    <row r="14" spans="1:2" x14ac:dyDescent="0.85">
      <c r="A14" s="101" t="s">
        <v>356</v>
      </c>
      <c r="B14" s="100" t="s">
        <v>351</v>
      </c>
    </row>
    <row r="15" spans="1:2" x14ac:dyDescent="0.85">
      <c r="A15" s="101" t="s">
        <v>357</v>
      </c>
      <c r="B15" s="100" t="s">
        <v>352</v>
      </c>
    </row>
    <row r="16" spans="1:2" x14ac:dyDescent="0.85">
      <c r="A16" s="101" t="s">
        <v>363</v>
      </c>
      <c r="B16" s="100" t="s">
        <v>384</v>
      </c>
    </row>
    <row r="17" spans="1:2" x14ac:dyDescent="0.85">
      <c r="A17" s="101" t="s">
        <v>364</v>
      </c>
      <c r="B17" s="100" t="s">
        <v>358</v>
      </c>
    </row>
    <row r="18" spans="1:2" x14ac:dyDescent="0.85">
      <c r="A18" s="101" t="s">
        <v>365</v>
      </c>
      <c r="B18" s="100" t="s">
        <v>359</v>
      </c>
    </row>
    <row r="19" spans="1:2" x14ac:dyDescent="0.85">
      <c r="A19" s="101" t="s">
        <v>366</v>
      </c>
      <c r="B19" s="100" t="s">
        <v>360</v>
      </c>
    </row>
    <row r="20" spans="1:2" x14ac:dyDescent="0.85">
      <c r="A20" s="101" t="s">
        <v>367</v>
      </c>
      <c r="B20" s="100" t="s">
        <v>361</v>
      </c>
    </row>
    <row r="21" spans="1:2" x14ac:dyDescent="0.85">
      <c r="A21" s="101" t="s">
        <v>368</v>
      </c>
      <c r="B21" s="100" t="s">
        <v>362</v>
      </c>
    </row>
    <row r="22" spans="1:2" x14ac:dyDescent="0.85">
      <c r="A22" s="101" t="s">
        <v>373</v>
      </c>
      <c r="B22" s="100" t="s">
        <v>369</v>
      </c>
    </row>
    <row r="23" spans="1:2" x14ac:dyDescent="0.85">
      <c r="A23" s="101" t="s">
        <v>374</v>
      </c>
      <c r="B23" s="100" t="s">
        <v>395</v>
      </c>
    </row>
    <row r="24" spans="1:2" ht="25.5" x14ac:dyDescent="0.85">
      <c r="A24" s="120" t="s">
        <v>21</v>
      </c>
      <c r="B24" s="121" t="s">
        <v>412</v>
      </c>
    </row>
    <row r="25" spans="1:2" x14ac:dyDescent="0.85">
      <c r="A25" s="101" t="s">
        <v>375</v>
      </c>
      <c r="B25" s="100" t="s">
        <v>370</v>
      </c>
    </row>
    <row r="26" spans="1:2" x14ac:dyDescent="0.85">
      <c r="A26" s="101" t="s">
        <v>376</v>
      </c>
      <c r="B26" s="100" t="s">
        <v>371</v>
      </c>
    </row>
    <row r="27" spans="1:2" x14ac:dyDescent="0.85">
      <c r="A27" s="101" t="s">
        <v>380</v>
      </c>
      <c r="B27" s="100" t="s">
        <v>372</v>
      </c>
    </row>
    <row r="28" spans="1:2" x14ac:dyDescent="0.85">
      <c r="A28" s="101" t="s">
        <v>381</v>
      </c>
      <c r="B28" s="100" t="s">
        <v>377</v>
      </c>
    </row>
    <row r="29" spans="1:2" x14ac:dyDescent="0.85">
      <c r="A29" s="55" t="s">
        <v>401</v>
      </c>
      <c r="B29" s="103" t="s">
        <v>400</v>
      </c>
    </row>
    <row r="30" spans="1:2" ht="24.5" x14ac:dyDescent="0.85">
      <c r="B30" s="121" t="s">
        <v>413</v>
      </c>
    </row>
    <row r="31" spans="1:2" x14ac:dyDescent="0.85">
      <c r="A31" s="101" t="s">
        <v>394</v>
      </c>
      <c r="B31" s="100" t="s">
        <v>378</v>
      </c>
    </row>
    <row r="32" spans="1:2" x14ac:dyDescent="0.85">
      <c r="A32" s="101" t="s">
        <v>402</v>
      </c>
      <c r="B32" s="100" t="s">
        <v>379</v>
      </c>
    </row>
    <row r="33" spans="1:5" x14ac:dyDescent="0.85">
      <c r="A33" s="104" t="s">
        <v>403</v>
      </c>
      <c r="B33" s="105" t="s">
        <v>429</v>
      </c>
    </row>
    <row r="34" spans="1:5" x14ac:dyDescent="0.85">
      <c r="A34" s="104" t="s">
        <v>405</v>
      </c>
      <c r="B34" s="105" t="s">
        <v>427</v>
      </c>
    </row>
    <row r="35" spans="1:5" x14ac:dyDescent="0.85">
      <c r="A35" s="104" t="s">
        <v>406</v>
      </c>
      <c r="B35" s="105" t="s">
        <v>428</v>
      </c>
    </row>
    <row r="36" spans="1:5" ht="24.5" x14ac:dyDescent="0.85">
      <c r="B36" s="121" t="s">
        <v>430</v>
      </c>
      <c r="C36" s="89"/>
      <c r="D36" s="89"/>
      <c r="E36" s="89"/>
    </row>
    <row r="37" spans="1:5" x14ac:dyDescent="0.85">
      <c r="A37" s="104" t="s">
        <v>487</v>
      </c>
      <c r="B37" s="55" t="s">
        <v>431</v>
      </c>
      <c r="C37" s="122" t="s">
        <v>414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IV56"/>
  <sheetViews>
    <sheetView zoomScale="130" zoomScaleNormal="130" workbookViewId="0">
      <selection activeCell="D9" sqref="D9:E9"/>
    </sheetView>
  </sheetViews>
  <sheetFormatPr defaultRowHeight="12.5" x14ac:dyDescent="0.25"/>
  <cols>
    <col min="2" max="2" width="7.81640625" customWidth="1"/>
    <col min="3" max="3" width="8.81640625" customWidth="1"/>
    <col min="4" max="5" width="7.81640625" customWidth="1"/>
    <col min="6" max="6" width="8.81640625" customWidth="1"/>
    <col min="7" max="7" width="7.1796875" customWidth="1"/>
    <col min="8" max="8" width="7.54296875" customWidth="1"/>
    <col min="9" max="10" width="7.81640625" customWidth="1"/>
    <col min="11" max="11" width="8.1796875" customWidth="1"/>
  </cols>
  <sheetData>
    <row r="1" spans="1:256" ht="23" x14ac:dyDescent="0.25">
      <c r="A1" s="106"/>
      <c r="B1" s="107"/>
      <c r="C1" s="108"/>
      <c r="D1" s="109"/>
      <c r="E1" s="109"/>
      <c r="F1" s="109"/>
      <c r="G1" s="109"/>
      <c r="H1" s="107"/>
      <c r="I1" s="241" t="s">
        <v>407</v>
      </c>
      <c r="J1" s="241"/>
      <c r="K1" s="241"/>
      <c r="L1" s="241"/>
      <c r="M1" s="241"/>
      <c r="N1" s="107"/>
      <c r="O1" s="106"/>
      <c r="P1" s="106"/>
      <c r="Q1" s="110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11"/>
      <c r="AF1" s="106"/>
      <c r="AG1" s="106"/>
      <c r="AH1" s="110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10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</row>
    <row r="2" spans="1:256" ht="23" x14ac:dyDescent="0.25">
      <c r="A2" s="106"/>
      <c r="B2" s="107"/>
      <c r="C2" s="108"/>
      <c r="D2" s="109"/>
      <c r="E2" s="109"/>
      <c r="F2" s="109"/>
      <c r="G2" s="109"/>
      <c r="H2" s="112"/>
      <c r="I2" s="241" t="s">
        <v>408</v>
      </c>
      <c r="J2" s="241"/>
      <c r="K2" s="241"/>
      <c r="L2" s="241"/>
      <c r="M2" s="241"/>
      <c r="N2" s="107"/>
      <c r="O2" s="106"/>
      <c r="P2" s="106"/>
      <c r="Q2" s="110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11"/>
      <c r="AF2" s="106"/>
      <c r="AG2" s="106"/>
      <c r="AH2" s="110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10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</row>
    <row r="3" spans="1:256" ht="24" x14ac:dyDescent="0.95">
      <c r="A3" s="106"/>
      <c r="B3" s="107"/>
      <c r="C3" s="108"/>
      <c r="D3" s="109"/>
      <c r="E3" s="109"/>
      <c r="F3" s="109"/>
      <c r="G3" s="109"/>
      <c r="H3" s="113"/>
      <c r="I3" s="242">
        <v>3</v>
      </c>
      <c r="J3" s="242"/>
      <c r="K3" s="242"/>
      <c r="L3" s="242"/>
      <c r="M3" s="242"/>
      <c r="N3" s="114"/>
      <c r="O3" s="106"/>
      <c r="P3" s="106"/>
      <c r="Q3" s="110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1"/>
      <c r="AF3" s="106"/>
      <c r="AG3" s="106"/>
      <c r="AH3" s="110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10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6"/>
      <c r="ER3" s="106"/>
      <c r="ES3" s="106"/>
      <c r="ET3" s="106"/>
      <c r="EU3" s="106"/>
      <c r="EV3" s="106"/>
      <c r="EW3" s="106"/>
      <c r="EX3" s="106"/>
      <c r="EY3" s="106"/>
      <c r="EZ3" s="106"/>
      <c r="FA3" s="106"/>
      <c r="FB3" s="106"/>
      <c r="FC3" s="106"/>
      <c r="FD3" s="106"/>
      <c r="FE3" s="106"/>
      <c r="FF3" s="106"/>
      <c r="FG3" s="106"/>
      <c r="FH3" s="106"/>
      <c r="FI3" s="106"/>
      <c r="FJ3" s="106"/>
      <c r="FK3" s="106"/>
      <c r="FL3" s="106"/>
      <c r="FM3" s="106"/>
      <c r="FN3" s="106"/>
      <c r="FO3" s="106"/>
      <c r="FP3" s="106"/>
      <c r="FQ3" s="106"/>
      <c r="FR3" s="106"/>
      <c r="FS3" s="106"/>
      <c r="FT3" s="106"/>
      <c r="FU3" s="106"/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  <c r="GJ3" s="106"/>
      <c r="GK3" s="106"/>
      <c r="GL3" s="106"/>
      <c r="GM3" s="106"/>
      <c r="GN3" s="106"/>
      <c r="GO3" s="106"/>
      <c r="GP3" s="106"/>
      <c r="GQ3" s="106"/>
      <c r="GR3" s="106"/>
      <c r="GS3" s="106"/>
      <c r="GT3" s="106"/>
      <c r="GU3" s="106"/>
      <c r="GV3" s="106"/>
      <c r="GW3" s="106"/>
      <c r="GX3" s="106"/>
      <c r="GY3" s="106"/>
      <c r="GZ3" s="106"/>
      <c r="HA3" s="106"/>
      <c r="HB3" s="106"/>
      <c r="HC3" s="106"/>
      <c r="HD3" s="106"/>
      <c r="HE3" s="106"/>
      <c r="HF3" s="106"/>
      <c r="HG3" s="106"/>
      <c r="HH3" s="106"/>
      <c r="HI3" s="106"/>
      <c r="HJ3" s="106"/>
      <c r="HK3" s="106"/>
      <c r="HL3" s="106"/>
      <c r="HM3" s="106"/>
      <c r="HN3" s="106"/>
      <c r="HO3" s="106"/>
      <c r="HP3" s="106"/>
      <c r="HQ3" s="106"/>
      <c r="HR3" s="106"/>
      <c r="HS3" s="106"/>
      <c r="HT3" s="106"/>
      <c r="HU3" s="106"/>
      <c r="HV3" s="106"/>
      <c r="HW3" s="106"/>
      <c r="HX3" s="106"/>
      <c r="HY3" s="106"/>
      <c r="HZ3" s="106"/>
      <c r="IA3" s="106"/>
      <c r="IB3" s="106"/>
      <c r="IC3" s="106"/>
      <c r="ID3" s="106"/>
      <c r="IE3" s="106"/>
      <c r="IF3" s="106"/>
      <c r="IG3" s="106"/>
      <c r="IH3" s="106"/>
      <c r="II3" s="106"/>
      <c r="IJ3" s="106"/>
      <c r="IK3" s="106"/>
      <c r="IL3" s="106"/>
      <c r="IM3" s="106"/>
      <c r="IN3" s="106"/>
      <c r="IO3" s="106"/>
      <c r="IP3" s="106"/>
      <c r="IQ3" s="106"/>
      <c r="IR3" s="106"/>
      <c r="IS3" s="106"/>
      <c r="IT3" s="106"/>
      <c r="IU3" s="106"/>
      <c r="IV3" s="106"/>
    </row>
    <row r="4" spans="1:256" ht="23" x14ac:dyDescent="0.25">
      <c r="A4" s="106"/>
      <c r="B4" s="244" t="s">
        <v>409</v>
      </c>
      <c r="C4" s="244"/>
      <c r="D4" s="244"/>
      <c r="E4" s="244"/>
      <c r="F4" s="244"/>
      <c r="G4" s="244"/>
      <c r="H4" s="244"/>
      <c r="I4" s="244"/>
      <c r="J4" s="244"/>
      <c r="K4" s="244"/>
      <c r="L4" s="116"/>
      <c r="M4" s="116"/>
      <c r="N4" s="116"/>
      <c r="O4" s="106"/>
      <c r="P4" s="106"/>
      <c r="Q4" s="110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11"/>
      <c r="AF4" s="106"/>
      <c r="AG4" s="106"/>
      <c r="AH4" s="110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10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  <c r="FK4" s="106"/>
      <c r="FL4" s="106"/>
      <c r="FM4" s="106"/>
      <c r="FN4" s="106"/>
      <c r="FO4" s="106"/>
      <c r="FP4" s="106"/>
      <c r="FQ4" s="106"/>
      <c r="FR4" s="106"/>
      <c r="FS4" s="106"/>
      <c r="FT4" s="106"/>
      <c r="FU4" s="106"/>
      <c r="FV4" s="106"/>
      <c r="FW4" s="106"/>
      <c r="FX4" s="106"/>
      <c r="FY4" s="106"/>
      <c r="FZ4" s="106"/>
      <c r="GA4" s="106"/>
      <c r="GB4" s="106"/>
      <c r="GC4" s="106"/>
      <c r="GD4" s="106"/>
      <c r="GE4" s="106"/>
      <c r="GF4" s="106"/>
      <c r="GG4" s="106"/>
      <c r="GH4" s="106"/>
      <c r="GI4" s="106"/>
      <c r="GJ4" s="106"/>
      <c r="GK4" s="106"/>
      <c r="GL4" s="106"/>
      <c r="GM4" s="106"/>
      <c r="GN4" s="106"/>
      <c r="GO4" s="106"/>
      <c r="GP4" s="106"/>
      <c r="GQ4" s="106"/>
      <c r="GR4" s="106"/>
      <c r="GS4" s="106"/>
      <c r="GT4" s="106"/>
      <c r="GU4" s="106"/>
      <c r="GV4" s="106"/>
      <c r="GW4" s="106"/>
      <c r="GX4" s="106"/>
      <c r="GY4" s="106"/>
      <c r="GZ4" s="106"/>
      <c r="HA4" s="106"/>
      <c r="HB4" s="106"/>
      <c r="HC4" s="106"/>
      <c r="HD4" s="106"/>
      <c r="HE4" s="106"/>
      <c r="HF4" s="106"/>
      <c r="HG4" s="106"/>
      <c r="HH4" s="106"/>
      <c r="HI4" s="106"/>
      <c r="HJ4" s="106"/>
      <c r="HK4" s="106"/>
      <c r="HL4" s="106"/>
      <c r="HM4" s="106"/>
      <c r="HN4" s="106"/>
      <c r="HO4" s="106"/>
      <c r="HP4" s="106"/>
      <c r="HQ4" s="106"/>
      <c r="HR4" s="106"/>
      <c r="HS4" s="106"/>
      <c r="HT4" s="106"/>
      <c r="HU4" s="106"/>
      <c r="HV4" s="106"/>
      <c r="HW4" s="106"/>
      <c r="HX4" s="106"/>
      <c r="HY4" s="106"/>
      <c r="HZ4" s="106"/>
      <c r="IA4" s="106"/>
      <c r="IB4" s="106"/>
      <c r="IC4" s="106"/>
      <c r="ID4" s="106"/>
      <c r="IE4" s="106"/>
      <c r="IF4" s="106"/>
      <c r="IG4" s="106"/>
      <c r="IH4" s="106"/>
      <c r="II4" s="106"/>
      <c r="IJ4" s="106"/>
      <c r="IK4" s="106"/>
      <c r="IL4" s="106"/>
      <c r="IM4" s="106"/>
      <c r="IN4" s="106"/>
      <c r="IO4" s="106"/>
      <c r="IP4" s="106"/>
      <c r="IQ4" s="106"/>
      <c r="IR4" s="106"/>
      <c r="IS4" s="106"/>
      <c r="IT4" s="106"/>
      <c r="IU4" s="106"/>
      <c r="IV4" s="106"/>
    </row>
    <row r="5" spans="1:256" ht="12" customHeight="1" x14ac:dyDescent="0.25">
      <c r="A5" s="106"/>
      <c r="B5" s="243"/>
      <c r="C5" s="243"/>
      <c r="D5" s="243"/>
      <c r="E5" s="115"/>
      <c r="F5" s="115"/>
      <c r="G5" s="115"/>
      <c r="H5" s="117"/>
      <c r="I5" s="117"/>
      <c r="J5" s="117"/>
      <c r="K5" s="117"/>
      <c r="L5" s="117"/>
      <c r="M5" s="117"/>
      <c r="N5" s="117"/>
      <c r="O5" s="106"/>
      <c r="P5" s="106"/>
      <c r="Q5" s="110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11"/>
      <c r="AF5" s="106"/>
      <c r="AG5" s="106"/>
      <c r="AH5" s="110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10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H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V5" s="106"/>
      <c r="DW5" s="106"/>
      <c r="DX5" s="106"/>
      <c r="DY5" s="106"/>
      <c r="DZ5" s="106"/>
      <c r="EA5" s="106"/>
      <c r="EB5" s="106"/>
      <c r="EC5" s="106"/>
      <c r="ED5" s="106"/>
      <c r="EE5" s="106"/>
      <c r="EF5" s="106"/>
      <c r="EG5" s="106"/>
      <c r="EH5" s="106"/>
      <c r="EI5" s="106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6"/>
      <c r="EU5" s="106"/>
      <c r="EV5" s="106"/>
      <c r="EW5" s="106"/>
      <c r="EX5" s="106"/>
      <c r="EY5" s="106"/>
      <c r="EZ5" s="106"/>
      <c r="FA5" s="106"/>
      <c r="FB5" s="106"/>
      <c r="FC5" s="106"/>
      <c r="FD5" s="106"/>
      <c r="FE5" s="106"/>
      <c r="FF5" s="106"/>
      <c r="FG5" s="106"/>
      <c r="FH5" s="106"/>
      <c r="FI5" s="106"/>
      <c r="FJ5" s="106"/>
      <c r="FK5" s="106"/>
      <c r="FL5" s="106"/>
      <c r="FM5" s="106"/>
      <c r="FN5" s="106"/>
      <c r="FO5" s="106"/>
      <c r="FP5" s="106"/>
      <c r="FQ5" s="106"/>
      <c r="FR5" s="106"/>
      <c r="FS5" s="106"/>
      <c r="FT5" s="106"/>
      <c r="FU5" s="106"/>
      <c r="FV5" s="106"/>
      <c r="FW5" s="106"/>
      <c r="FX5" s="106"/>
      <c r="FY5" s="106"/>
      <c r="FZ5" s="106"/>
      <c r="GA5" s="106"/>
      <c r="GB5" s="106"/>
      <c r="GC5" s="106"/>
      <c r="GD5" s="106"/>
      <c r="GE5" s="106"/>
      <c r="GF5" s="106"/>
      <c r="GG5" s="106"/>
      <c r="GH5" s="106"/>
      <c r="GI5" s="106"/>
      <c r="GJ5" s="106"/>
      <c r="GK5" s="106"/>
      <c r="GL5" s="106"/>
      <c r="GM5" s="106"/>
      <c r="GN5" s="106"/>
      <c r="GO5" s="106"/>
      <c r="GP5" s="106"/>
      <c r="GQ5" s="106"/>
      <c r="GR5" s="106"/>
      <c r="GS5" s="106"/>
      <c r="GT5" s="106"/>
      <c r="GU5" s="106"/>
      <c r="GV5" s="106"/>
      <c r="GW5" s="106"/>
      <c r="GX5" s="106"/>
      <c r="GY5" s="106"/>
      <c r="GZ5" s="106"/>
      <c r="HA5" s="106"/>
      <c r="HB5" s="106"/>
      <c r="HC5" s="106"/>
      <c r="HD5" s="106"/>
      <c r="HE5" s="106"/>
      <c r="HF5" s="106"/>
      <c r="HG5" s="106"/>
      <c r="HH5" s="106"/>
      <c r="HI5" s="106"/>
      <c r="HJ5" s="106"/>
      <c r="HK5" s="106"/>
      <c r="HL5" s="106"/>
      <c r="HM5" s="106"/>
      <c r="HN5" s="106"/>
      <c r="HO5" s="106"/>
      <c r="HP5" s="106"/>
      <c r="HQ5" s="106"/>
      <c r="HR5" s="106"/>
      <c r="HS5" s="106"/>
      <c r="HT5" s="106"/>
      <c r="HU5" s="106"/>
      <c r="HV5" s="106"/>
      <c r="HW5" s="106"/>
      <c r="HX5" s="106"/>
      <c r="HY5" s="106"/>
      <c r="HZ5" s="106"/>
      <c r="IA5" s="106"/>
      <c r="IB5" s="106"/>
      <c r="IC5" s="106"/>
      <c r="ID5" s="106"/>
      <c r="IE5" s="106"/>
      <c r="IF5" s="106"/>
      <c r="IG5" s="106"/>
      <c r="IH5" s="106"/>
      <c r="II5" s="106"/>
      <c r="IJ5" s="106"/>
      <c r="IK5" s="106"/>
      <c r="IL5" s="106"/>
      <c r="IM5" s="106"/>
      <c r="IN5" s="106"/>
      <c r="IO5" s="106"/>
      <c r="IP5" s="106"/>
      <c r="IQ5" s="106"/>
      <c r="IR5" s="106"/>
      <c r="IS5" s="106"/>
      <c r="IT5" s="106"/>
      <c r="IU5" s="106"/>
      <c r="IV5" s="106"/>
    </row>
    <row r="6" spans="1:256" s="55" customFormat="1" ht="24" x14ac:dyDescent="0.85">
      <c r="A6" s="106"/>
      <c r="B6" s="242">
        <v>3</v>
      </c>
      <c r="C6" s="242"/>
      <c r="D6" s="242"/>
      <c r="E6" s="118"/>
      <c r="F6" s="118"/>
      <c r="G6" s="118"/>
      <c r="H6" s="119"/>
      <c r="I6" s="119"/>
      <c r="J6" s="119"/>
      <c r="K6" s="119"/>
      <c r="L6" s="119"/>
      <c r="M6" s="119"/>
      <c r="N6" s="119"/>
      <c r="O6" s="106"/>
      <c r="P6" s="106"/>
      <c r="Q6" s="110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11"/>
      <c r="AF6" s="106"/>
      <c r="AG6" s="106"/>
      <c r="AH6" s="110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10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/>
      <c r="DG6" s="106"/>
      <c r="DH6" s="106"/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  <c r="GW6" s="106"/>
      <c r="GX6" s="106"/>
      <c r="GY6" s="106"/>
      <c r="GZ6" s="106"/>
      <c r="HA6" s="106"/>
      <c r="HB6" s="106"/>
      <c r="HC6" s="106"/>
      <c r="HD6" s="106"/>
      <c r="HE6" s="106"/>
      <c r="HF6" s="106"/>
      <c r="HG6" s="106"/>
      <c r="HH6" s="106"/>
      <c r="HI6" s="106"/>
      <c r="HJ6" s="106"/>
      <c r="HK6" s="106"/>
      <c r="HL6" s="106"/>
      <c r="HM6" s="106"/>
      <c r="HN6" s="106"/>
      <c r="HO6" s="106"/>
      <c r="HP6" s="106"/>
      <c r="HQ6" s="106"/>
      <c r="HR6" s="106"/>
      <c r="HS6" s="106"/>
      <c r="HT6" s="106"/>
      <c r="HU6" s="106"/>
      <c r="HV6" s="106"/>
      <c r="HW6" s="106"/>
      <c r="HX6" s="106"/>
      <c r="HY6" s="106"/>
      <c r="HZ6" s="106"/>
      <c r="IA6" s="106"/>
      <c r="IB6" s="106"/>
      <c r="IC6" s="106"/>
      <c r="ID6" s="106"/>
      <c r="IE6" s="106"/>
      <c r="IF6" s="106"/>
      <c r="IG6" s="106"/>
      <c r="IH6" s="106"/>
      <c r="II6" s="106"/>
      <c r="IJ6" s="106"/>
      <c r="IK6" s="106"/>
      <c r="IL6" s="106"/>
      <c r="IM6" s="106"/>
      <c r="IN6" s="106"/>
      <c r="IO6" s="106"/>
      <c r="IP6" s="106"/>
      <c r="IQ6" s="106"/>
      <c r="IR6" s="106"/>
      <c r="IS6" s="106"/>
      <c r="IT6" s="106"/>
      <c r="IU6" s="106"/>
      <c r="IV6" s="106"/>
    </row>
    <row r="7" spans="1:256" ht="10.5" customHeight="1" x14ac:dyDescent="0.25"/>
    <row r="8" spans="1:256" ht="19.5" customHeight="1" x14ac:dyDescent="0.25">
      <c r="A8" s="238" t="s">
        <v>78</v>
      </c>
      <c r="B8" s="240" t="s">
        <v>87</v>
      </c>
      <c r="C8" s="240"/>
      <c r="D8" s="240"/>
      <c r="E8" s="240"/>
      <c r="F8" s="240"/>
      <c r="G8" s="240" t="s">
        <v>88</v>
      </c>
      <c r="H8" s="240"/>
      <c r="I8" s="240"/>
      <c r="J8" s="240"/>
      <c r="K8" s="240"/>
    </row>
    <row r="9" spans="1:256" ht="34.5" customHeight="1" x14ac:dyDescent="0.25">
      <c r="A9" s="239"/>
      <c r="B9" s="129" t="s">
        <v>79</v>
      </c>
      <c r="C9" s="129" t="s">
        <v>80</v>
      </c>
      <c r="D9" s="130" t="s">
        <v>84</v>
      </c>
      <c r="E9" s="131" t="s">
        <v>82</v>
      </c>
      <c r="F9" s="127" t="s">
        <v>83</v>
      </c>
      <c r="G9" s="129" t="s">
        <v>79</v>
      </c>
      <c r="H9" s="129" t="s">
        <v>80</v>
      </c>
      <c r="I9" s="130" t="s">
        <v>84</v>
      </c>
      <c r="J9" s="131" t="s">
        <v>82</v>
      </c>
      <c r="K9" s="127" t="s">
        <v>83</v>
      </c>
      <c r="M9" s="130" t="str">
        <f>'Table 2'!Q4</f>
        <v>មធ្យមសិក្សាបឋមភូមិ</v>
      </c>
      <c r="N9" s="130" t="str">
        <f>'Table 2'!R4</f>
        <v>មធ្យមសិក្សាទុតិយភូមិ</v>
      </c>
    </row>
    <row r="10" spans="1:256" x14ac:dyDescent="0.25">
      <c r="A10" s="6" t="s">
        <v>20</v>
      </c>
      <c r="B10" s="5">
        <v>96</v>
      </c>
      <c r="C10" s="5" t="s">
        <v>49</v>
      </c>
      <c r="D10" s="5">
        <v>14</v>
      </c>
      <c r="E10" s="5">
        <v>1</v>
      </c>
      <c r="F10" s="5">
        <f>SUM(B10:E10)</f>
        <v>111</v>
      </c>
      <c r="G10" s="5">
        <v>230</v>
      </c>
      <c r="H10" s="5">
        <v>12069</v>
      </c>
      <c r="I10" s="5">
        <v>101</v>
      </c>
      <c r="J10" s="5">
        <v>7</v>
      </c>
      <c r="K10" s="4">
        <f>SUM(G10:J10)</f>
        <v>12407</v>
      </c>
    </row>
    <row r="11" spans="1:256" x14ac:dyDescent="0.25">
      <c r="A11" s="6" t="s">
        <v>0</v>
      </c>
      <c r="B11" s="5">
        <v>149</v>
      </c>
      <c r="C11" s="5" t="s">
        <v>49</v>
      </c>
      <c r="D11" s="5">
        <v>62</v>
      </c>
      <c r="E11" s="5">
        <v>2</v>
      </c>
      <c r="F11" s="5">
        <f t="shared" ref="F11:F38" si="0">SUM(B11:E11)</f>
        <v>213</v>
      </c>
      <c r="G11" s="5">
        <v>446</v>
      </c>
      <c r="H11" s="5">
        <v>25526</v>
      </c>
      <c r="I11" s="5">
        <v>394</v>
      </c>
      <c r="J11" s="5">
        <v>14</v>
      </c>
      <c r="K11" s="4">
        <f t="shared" ref="K11:K38" si="1">SUM(G11:J11)</f>
        <v>26380</v>
      </c>
    </row>
    <row r="12" spans="1:256" x14ac:dyDescent="0.25">
      <c r="A12" s="6" t="s">
        <v>1</v>
      </c>
      <c r="B12" s="5">
        <v>213</v>
      </c>
      <c r="C12" s="5">
        <v>3521</v>
      </c>
      <c r="D12" s="5">
        <v>96</v>
      </c>
      <c r="E12" s="5">
        <v>5</v>
      </c>
      <c r="F12" s="5">
        <f t="shared" si="0"/>
        <v>3835</v>
      </c>
      <c r="G12" s="5">
        <v>448</v>
      </c>
      <c r="H12" s="5">
        <v>31909</v>
      </c>
      <c r="I12" s="5">
        <v>938</v>
      </c>
      <c r="J12" s="5">
        <v>33</v>
      </c>
      <c r="K12" s="4">
        <f t="shared" si="1"/>
        <v>33328</v>
      </c>
    </row>
    <row r="13" spans="1:256" x14ac:dyDescent="0.25">
      <c r="A13" s="6" t="s">
        <v>2</v>
      </c>
      <c r="B13" s="5">
        <v>371</v>
      </c>
      <c r="C13" s="5">
        <v>3114</v>
      </c>
      <c r="D13" s="5">
        <v>173</v>
      </c>
      <c r="E13" s="5">
        <v>7</v>
      </c>
      <c r="F13" s="5">
        <f t="shared" si="0"/>
        <v>3665</v>
      </c>
      <c r="G13" s="5">
        <v>823</v>
      </c>
      <c r="H13" s="5">
        <v>33740</v>
      </c>
      <c r="I13" s="5">
        <v>1949</v>
      </c>
      <c r="J13" s="5">
        <v>73</v>
      </c>
      <c r="K13" s="4">
        <f t="shared" si="1"/>
        <v>36585</v>
      </c>
    </row>
    <row r="14" spans="1:256" x14ac:dyDescent="0.25">
      <c r="A14" s="6" t="s">
        <v>3</v>
      </c>
      <c r="B14" s="5">
        <v>500</v>
      </c>
      <c r="C14" s="5">
        <v>3005</v>
      </c>
      <c r="D14" s="5">
        <v>200</v>
      </c>
      <c r="E14" s="5">
        <v>13</v>
      </c>
      <c r="F14" s="5">
        <f t="shared" si="0"/>
        <v>3718</v>
      </c>
      <c r="G14" s="5">
        <v>1128</v>
      </c>
      <c r="H14" s="5">
        <v>33287</v>
      </c>
      <c r="I14" s="5">
        <v>3089</v>
      </c>
      <c r="J14" s="5">
        <v>149</v>
      </c>
      <c r="K14" s="4">
        <f t="shared" si="1"/>
        <v>37653</v>
      </c>
    </row>
    <row r="15" spans="1:256" x14ac:dyDescent="0.25">
      <c r="A15" s="6" t="s">
        <v>4</v>
      </c>
      <c r="B15" s="5">
        <v>541</v>
      </c>
      <c r="C15" s="5">
        <v>3133</v>
      </c>
      <c r="D15" s="5">
        <v>222</v>
      </c>
      <c r="E15" s="5">
        <v>19</v>
      </c>
      <c r="F15" s="5">
        <f t="shared" si="0"/>
        <v>3915</v>
      </c>
      <c r="G15" s="5">
        <v>1420</v>
      </c>
      <c r="H15" s="5">
        <v>33345</v>
      </c>
      <c r="I15" s="5">
        <v>4698</v>
      </c>
      <c r="J15" s="5">
        <v>211</v>
      </c>
      <c r="K15" s="4">
        <f t="shared" si="1"/>
        <v>39674</v>
      </c>
    </row>
    <row r="16" spans="1:256" x14ac:dyDescent="0.25">
      <c r="A16" s="6" t="s">
        <v>5</v>
      </c>
      <c r="B16" s="5">
        <v>689</v>
      </c>
      <c r="C16" s="5">
        <v>2294</v>
      </c>
      <c r="D16" s="5">
        <v>278</v>
      </c>
      <c r="E16" s="5">
        <v>28</v>
      </c>
      <c r="F16" s="5">
        <f t="shared" si="0"/>
        <v>3289</v>
      </c>
      <c r="G16" s="5">
        <v>1557</v>
      </c>
      <c r="H16" s="5">
        <v>31062</v>
      </c>
      <c r="I16" s="5">
        <v>5730</v>
      </c>
      <c r="J16" s="5">
        <v>266</v>
      </c>
      <c r="K16" s="4">
        <f t="shared" si="1"/>
        <v>38615</v>
      </c>
    </row>
    <row r="17" spans="1:11" x14ac:dyDescent="0.25">
      <c r="A17" s="6" t="s">
        <v>6</v>
      </c>
      <c r="B17" s="5">
        <v>551</v>
      </c>
      <c r="C17" s="5">
        <v>4282</v>
      </c>
      <c r="D17" s="5">
        <v>304</v>
      </c>
      <c r="E17" s="5">
        <v>33</v>
      </c>
      <c r="F17" s="5">
        <f t="shared" si="0"/>
        <v>5170</v>
      </c>
      <c r="G17" s="5">
        <v>1864</v>
      </c>
      <c r="H17" s="5">
        <v>30946</v>
      </c>
      <c r="I17" s="5">
        <v>6262</v>
      </c>
      <c r="J17" s="5">
        <v>364</v>
      </c>
      <c r="K17" s="4">
        <f t="shared" si="1"/>
        <v>39436</v>
      </c>
    </row>
    <row r="18" spans="1:11" x14ac:dyDescent="0.25">
      <c r="A18" s="6" t="s">
        <v>7</v>
      </c>
      <c r="B18" s="5">
        <v>560</v>
      </c>
      <c r="C18" s="5">
        <v>4780</v>
      </c>
      <c r="D18" s="5">
        <v>337</v>
      </c>
      <c r="E18" s="5">
        <v>40</v>
      </c>
      <c r="F18" s="5">
        <f t="shared" si="0"/>
        <v>5717</v>
      </c>
      <c r="G18" s="5">
        <v>2059</v>
      </c>
      <c r="H18" s="5">
        <v>30890</v>
      </c>
      <c r="I18" s="5">
        <v>6538</v>
      </c>
      <c r="J18" s="5">
        <v>497</v>
      </c>
      <c r="K18" s="4">
        <f t="shared" si="1"/>
        <v>39984</v>
      </c>
    </row>
    <row r="19" spans="1:11" x14ac:dyDescent="0.25">
      <c r="A19" s="6" t="s">
        <v>8</v>
      </c>
      <c r="B19" s="5">
        <v>679</v>
      </c>
      <c r="C19" s="5">
        <v>4730</v>
      </c>
      <c r="D19" s="5">
        <v>373</v>
      </c>
      <c r="E19" s="5">
        <v>49</v>
      </c>
      <c r="F19" s="5">
        <f t="shared" si="0"/>
        <v>5831</v>
      </c>
      <c r="G19" s="5">
        <v>2195</v>
      </c>
      <c r="H19" s="5">
        <v>31384</v>
      </c>
      <c r="I19" s="5">
        <v>6265</v>
      </c>
      <c r="J19" s="5">
        <v>650</v>
      </c>
      <c r="K19" s="4">
        <f t="shared" si="1"/>
        <v>40494</v>
      </c>
    </row>
    <row r="20" spans="1:11" x14ac:dyDescent="0.25">
      <c r="A20" s="6" t="s">
        <v>9</v>
      </c>
      <c r="B20" s="5">
        <v>416</v>
      </c>
      <c r="C20" s="5">
        <v>4773</v>
      </c>
      <c r="D20" s="5">
        <v>394</v>
      </c>
      <c r="E20" s="5">
        <v>61</v>
      </c>
      <c r="F20" s="5">
        <f t="shared" si="0"/>
        <v>5644</v>
      </c>
      <c r="G20" s="5">
        <v>2181</v>
      </c>
      <c r="H20" s="5">
        <v>31553</v>
      </c>
      <c r="I20" s="5">
        <v>5602</v>
      </c>
      <c r="J20" s="5">
        <v>817</v>
      </c>
      <c r="K20" s="4">
        <f t="shared" si="1"/>
        <v>40153</v>
      </c>
    </row>
    <row r="21" spans="1:11" x14ac:dyDescent="0.25">
      <c r="A21" s="6" t="s">
        <v>10</v>
      </c>
      <c r="B21" s="5">
        <v>397</v>
      </c>
      <c r="C21" s="5">
        <v>4665</v>
      </c>
      <c r="D21" s="5">
        <v>397</v>
      </c>
      <c r="E21" s="5">
        <v>66</v>
      </c>
      <c r="F21" s="5">
        <f t="shared" si="0"/>
        <v>5525</v>
      </c>
      <c r="G21" s="5">
        <v>1789</v>
      </c>
      <c r="H21" s="5">
        <v>32858</v>
      </c>
      <c r="I21" s="5">
        <v>5064</v>
      </c>
      <c r="J21" s="5">
        <v>919</v>
      </c>
      <c r="K21" s="4">
        <f t="shared" si="1"/>
        <v>40630</v>
      </c>
    </row>
    <row r="22" spans="1:11" x14ac:dyDescent="0.25">
      <c r="A22" s="6" t="s">
        <v>11</v>
      </c>
      <c r="B22" s="5">
        <v>221</v>
      </c>
      <c r="C22" s="5">
        <v>4555</v>
      </c>
      <c r="D22" s="5">
        <v>407</v>
      </c>
      <c r="E22" s="5">
        <v>80</v>
      </c>
      <c r="F22" s="5">
        <f t="shared" si="0"/>
        <v>5263</v>
      </c>
      <c r="G22" s="5">
        <v>1714</v>
      </c>
      <c r="H22" s="5">
        <v>33142</v>
      </c>
      <c r="I22" s="5">
        <v>4848</v>
      </c>
      <c r="J22" s="5">
        <v>1084</v>
      </c>
      <c r="K22" s="4">
        <f t="shared" si="1"/>
        <v>40788</v>
      </c>
    </row>
    <row r="23" spans="1:11" x14ac:dyDescent="0.25">
      <c r="A23" s="6" t="s">
        <v>12</v>
      </c>
      <c r="B23" s="5">
        <v>220</v>
      </c>
      <c r="C23" s="5">
        <v>4539</v>
      </c>
      <c r="D23" s="5">
        <v>358</v>
      </c>
      <c r="E23" s="5">
        <v>82</v>
      </c>
      <c r="F23" s="5">
        <f t="shared" si="0"/>
        <v>5199</v>
      </c>
      <c r="G23" s="5">
        <v>1712</v>
      </c>
      <c r="H23" s="5">
        <v>35025</v>
      </c>
      <c r="I23" s="5">
        <v>4844</v>
      </c>
      <c r="J23" s="5">
        <v>1216</v>
      </c>
      <c r="K23" s="4">
        <f t="shared" si="1"/>
        <v>42797</v>
      </c>
    </row>
    <row r="24" spans="1:11" x14ac:dyDescent="0.25">
      <c r="A24" s="6" t="s">
        <v>13</v>
      </c>
      <c r="B24" s="5">
        <v>203</v>
      </c>
      <c r="C24" s="5">
        <v>4693</v>
      </c>
      <c r="D24" s="5">
        <v>354</v>
      </c>
      <c r="E24" s="5">
        <v>89</v>
      </c>
      <c r="F24" s="5">
        <f t="shared" si="0"/>
        <v>5339</v>
      </c>
      <c r="G24" s="5">
        <v>1700</v>
      </c>
      <c r="H24" s="5">
        <v>36798</v>
      </c>
      <c r="I24" s="5">
        <v>5402</v>
      </c>
      <c r="J24" s="5">
        <v>1350</v>
      </c>
      <c r="K24" s="4">
        <f t="shared" si="1"/>
        <v>45250</v>
      </c>
    </row>
    <row r="25" spans="1:11" x14ac:dyDescent="0.25">
      <c r="A25" s="6" t="s">
        <v>14</v>
      </c>
      <c r="B25" s="5">
        <v>184</v>
      </c>
      <c r="C25" s="5">
        <v>4744</v>
      </c>
      <c r="D25" s="5">
        <v>363</v>
      </c>
      <c r="E25" s="5">
        <v>90</v>
      </c>
      <c r="F25" s="5">
        <f t="shared" si="0"/>
        <v>5381</v>
      </c>
      <c r="G25" s="5">
        <v>1586</v>
      </c>
      <c r="H25" s="5">
        <v>39159</v>
      </c>
      <c r="I25" s="5">
        <v>6001</v>
      </c>
      <c r="J25" s="5">
        <v>1244</v>
      </c>
      <c r="K25" s="4">
        <f t="shared" si="1"/>
        <v>47990</v>
      </c>
    </row>
    <row r="26" spans="1:11" x14ac:dyDescent="0.25">
      <c r="A26" s="6" t="s">
        <v>15</v>
      </c>
      <c r="B26" s="5">
        <v>188</v>
      </c>
      <c r="C26" s="5">
        <v>4845</v>
      </c>
      <c r="D26" s="5">
        <v>350</v>
      </c>
      <c r="E26" s="5">
        <v>92</v>
      </c>
      <c r="F26" s="5">
        <f t="shared" si="0"/>
        <v>5475</v>
      </c>
      <c r="G26" s="5">
        <v>1516</v>
      </c>
      <c r="H26" s="5">
        <v>40691</v>
      </c>
      <c r="I26" s="5">
        <v>5851</v>
      </c>
      <c r="J26" s="5">
        <v>1561</v>
      </c>
      <c r="K26" s="4">
        <f t="shared" si="1"/>
        <v>49619</v>
      </c>
    </row>
    <row r="27" spans="1:11" x14ac:dyDescent="0.25">
      <c r="A27" s="6" t="s">
        <v>16</v>
      </c>
      <c r="B27" s="5">
        <v>812</v>
      </c>
      <c r="C27" s="5">
        <v>4899</v>
      </c>
      <c r="D27" s="5">
        <v>351</v>
      </c>
      <c r="E27" s="5">
        <v>106</v>
      </c>
      <c r="F27" s="5">
        <f t="shared" si="0"/>
        <v>6168</v>
      </c>
      <c r="G27" s="5">
        <v>1438</v>
      </c>
      <c r="H27" s="5">
        <v>43469</v>
      </c>
      <c r="I27" s="5">
        <v>6304</v>
      </c>
      <c r="J27" s="5">
        <v>1370</v>
      </c>
      <c r="K27" s="4">
        <f t="shared" si="1"/>
        <v>52581</v>
      </c>
    </row>
    <row r="28" spans="1:11" s="42" customFormat="1" x14ac:dyDescent="0.25">
      <c r="A28" s="6" t="s">
        <v>17</v>
      </c>
      <c r="B28" s="5">
        <v>793</v>
      </c>
      <c r="C28" s="5">
        <v>5026</v>
      </c>
      <c r="D28" s="5">
        <v>350</v>
      </c>
      <c r="E28" s="5">
        <v>125</v>
      </c>
      <c r="F28" s="5">
        <f t="shared" si="0"/>
        <v>6294</v>
      </c>
      <c r="G28" s="5">
        <v>1393</v>
      </c>
      <c r="H28" s="5">
        <v>45443</v>
      </c>
      <c r="I28" s="5">
        <v>5926</v>
      </c>
      <c r="J28" s="5">
        <v>1653</v>
      </c>
      <c r="K28" s="4">
        <f t="shared" si="1"/>
        <v>54415</v>
      </c>
    </row>
    <row r="29" spans="1:11" x14ac:dyDescent="0.25">
      <c r="A29" s="6" t="s">
        <v>18</v>
      </c>
      <c r="B29" s="5">
        <v>806</v>
      </c>
      <c r="C29" s="5">
        <v>5156</v>
      </c>
      <c r="D29" s="5">
        <v>355</v>
      </c>
      <c r="E29" s="5">
        <v>132</v>
      </c>
      <c r="F29" s="5">
        <f t="shared" si="0"/>
        <v>6449</v>
      </c>
      <c r="G29" s="5">
        <v>1414</v>
      </c>
      <c r="H29" s="5">
        <v>48370</v>
      </c>
      <c r="I29" s="5">
        <v>5903</v>
      </c>
      <c r="J29" s="5">
        <v>1860</v>
      </c>
      <c r="K29" s="4">
        <f t="shared" si="1"/>
        <v>57547</v>
      </c>
    </row>
    <row r="30" spans="1:11" x14ac:dyDescent="0.25">
      <c r="A30" s="6" t="s">
        <v>19</v>
      </c>
      <c r="B30" s="5">
        <v>874</v>
      </c>
      <c r="C30" s="5">
        <v>5274</v>
      </c>
      <c r="D30" s="5">
        <v>363</v>
      </c>
      <c r="E30" s="5">
        <v>140</v>
      </c>
      <c r="F30" s="5">
        <f t="shared" si="0"/>
        <v>6651</v>
      </c>
      <c r="G30" s="5">
        <v>1523</v>
      </c>
      <c r="H30" s="5">
        <v>50960</v>
      </c>
      <c r="I30" s="5">
        <v>5951</v>
      </c>
      <c r="J30" s="5">
        <v>2262</v>
      </c>
      <c r="K30" s="4">
        <f t="shared" si="1"/>
        <v>60696</v>
      </c>
    </row>
    <row r="31" spans="1:11" x14ac:dyDescent="0.25">
      <c r="A31" s="6" t="s">
        <v>22</v>
      </c>
      <c r="B31" s="5">
        <v>915</v>
      </c>
      <c r="C31" s="5">
        <v>5468</v>
      </c>
      <c r="D31" s="5">
        <v>367</v>
      </c>
      <c r="E31" s="5">
        <v>151</v>
      </c>
      <c r="F31" s="5">
        <f t="shared" si="0"/>
        <v>6901</v>
      </c>
      <c r="G31" s="5">
        <v>1605</v>
      </c>
      <c r="H31" s="5">
        <v>55448</v>
      </c>
      <c r="I31" s="5">
        <v>6860</v>
      </c>
      <c r="J31" s="5">
        <v>2299</v>
      </c>
      <c r="K31" s="4">
        <f t="shared" si="1"/>
        <v>66212</v>
      </c>
    </row>
    <row r="32" spans="1:11" x14ac:dyDescent="0.25">
      <c r="A32" s="6" t="s">
        <v>23</v>
      </c>
      <c r="B32" s="5">
        <v>1015</v>
      </c>
      <c r="C32" s="5">
        <v>5741</v>
      </c>
      <c r="D32" s="5">
        <v>379</v>
      </c>
      <c r="E32" s="5">
        <v>163</v>
      </c>
      <c r="F32" s="5">
        <f t="shared" si="0"/>
        <v>7298</v>
      </c>
      <c r="G32" s="5">
        <v>1772</v>
      </c>
      <c r="H32" s="5">
        <v>60698</v>
      </c>
      <c r="I32" s="5">
        <v>7795</v>
      </c>
      <c r="J32" s="5">
        <v>2443</v>
      </c>
      <c r="K32" s="4">
        <f t="shared" si="1"/>
        <v>72708</v>
      </c>
    </row>
    <row r="33" spans="1:11" x14ac:dyDescent="0.25">
      <c r="A33" s="6" t="s">
        <v>29</v>
      </c>
      <c r="B33" s="5">
        <v>1145</v>
      </c>
      <c r="C33" s="5">
        <v>5915</v>
      </c>
      <c r="D33" s="5">
        <v>411</v>
      </c>
      <c r="E33" s="5">
        <v>183</v>
      </c>
      <c r="F33" s="5">
        <f t="shared" si="0"/>
        <v>7654</v>
      </c>
      <c r="G33" s="5">
        <v>2041</v>
      </c>
      <c r="H33" s="5">
        <v>59897</v>
      </c>
      <c r="I33" s="5">
        <v>8799</v>
      </c>
      <c r="J33" s="5">
        <v>2721</v>
      </c>
      <c r="K33" s="4">
        <f t="shared" si="1"/>
        <v>73458</v>
      </c>
    </row>
    <row r="34" spans="1:11" x14ac:dyDescent="0.25">
      <c r="A34" s="6" t="s">
        <v>30</v>
      </c>
      <c r="B34" s="5">
        <v>1238</v>
      </c>
      <c r="C34" s="5">
        <v>6063</v>
      </c>
      <c r="D34" s="5">
        <v>486</v>
      </c>
      <c r="E34" s="5">
        <v>212</v>
      </c>
      <c r="F34" s="5">
        <f t="shared" si="0"/>
        <v>7999</v>
      </c>
      <c r="G34" s="5">
        <v>2205</v>
      </c>
      <c r="H34" s="5">
        <v>60985</v>
      </c>
      <c r="I34" s="5">
        <v>9566</v>
      </c>
      <c r="J34" s="5">
        <v>3165</v>
      </c>
      <c r="K34" s="4">
        <f t="shared" si="1"/>
        <v>75921</v>
      </c>
    </row>
    <row r="35" spans="1:11" x14ac:dyDescent="0.25">
      <c r="A35" s="6" t="s">
        <v>35</v>
      </c>
      <c r="B35" s="5">
        <v>1345</v>
      </c>
      <c r="C35" s="5">
        <v>6180</v>
      </c>
      <c r="D35" s="5">
        <v>578</v>
      </c>
      <c r="E35" s="5">
        <v>232</v>
      </c>
      <c r="F35" s="5">
        <f t="shared" si="0"/>
        <v>8335</v>
      </c>
      <c r="G35" s="5">
        <v>2316</v>
      </c>
      <c r="H35" s="5">
        <v>61648</v>
      </c>
      <c r="I35" s="5">
        <v>10744</v>
      </c>
      <c r="J35" s="5">
        <v>3513</v>
      </c>
      <c r="K35" s="4">
        <f t="shared" si="1"/>
        <v>78221</v>
      </c>
    </row>
    <row r="36" spans="1:11" x14ac:dyDescent="0.25">
      <c r="A36" s="6" t="s">
        <v>36</v>
      </c>
      <c r="B36" s="5">
        <v>1429</v>
      </c>
      <c r="C36" s="5">
        <v>6277</v>
      </c>
      <c r="D36" s="5">
        <v>670</v>
      </c>
      <c r="E36" s="5">
        <v>252</v>
      </c>
      <c r="F36" s="5">
        <f t="shared" si="0"/>
        <v>8628</v>
      </c>
      <c r="G36" s="5">
        <v>2413</v>
      </c>
      <c r="H36" s="5">
        <v>61901</v>
      </c>
      <c r="I36" s="5">
        <v>11783</v>
      </c>
      <c r="J36" s="5">
        <v>3996</v>
      </c>
      <c r="K36" s="4">
        <f t="shared" si="1"/>
        <v>80093</v>
      </c>
    </row>
    <row r="37" spans="1:11" x14ac:dyDescent="0.25">
      <c r="A37" s="6" t="s">
        <v>50</v>
      </c>
      <c r="B37" s="5">
        <v>1524</v>
      </c>
      <c r="C37" s="5">
        <v>6365</v>
      </c>
      <c r="D37" s="5">
        <v>846</v>
      </c>
      <c r="E37" s="5">
        <v>283</v>
      </c>
      <c r="F37" s="5">
        <f t="shared" si="0"/>
        <v>9018</v>
      </c>
      <c r="G37" s="5">
        <v>2548</v>
      </c>
      <c r="H37" s="5">
        <v>61249</v>
      </c>
      <c r="I37" s="5">
        <v>12633</v>
      </c>
      <c r="J37" s="5">
        <v>4303</v>
      </c>
      <c r="K37" s="4">
        <f t="shared" si="1"/>
        <v>80733</v>
      </c>
    </row>
    <row r="38" spans="1:11" x14ac:dyDescent="0.25">
      <c r="A38" s="6" t="s">
        <v>51</v>
      </c>
      <c r="B38" s="5">
        <v>1634</v>
      </c>
      <c r="C38" s="5">
        <v>6476</v>
      </c>
      <c r="D38" s="5">
        <v>1006</v>
      </c>
      <c r="E38" s="5">
        <v>315</v>
      </c>
      <c r="F38" s="5">
        <f t="shared" si="0"/>
        <v>9431</v>
      </c>
      <c r="G38" s="5">
        <v>2678</v>
      </c>
      <c r="H38" s="5">
        <v>60384</v>
      </c>
      <c r="I38" s="5">
        <v>13300</v>
      </c>
      <c r="J38" s="5">
        <v>4968</v>
      </c>
      <c r="K38" s="4">
        <f t="shared" si="1"/>
        <v>81330</v>
      </c>
    </row>
    <row r="39" spans="1:11" x14ac:dyDescent="0.25">
      <c r="A39" s="51" t="s">
        <v>62</v>
      </c>
      <c r="B39" s="52"/>
      <c r="C39" s="52"/>
      <c r="D39" s="52"/>
      <c r="E39" s="52"/>
      <c r="F39" s="52"/>
      <c r="G39" s="52"/>
      <c r="H39" s="52"/>
      <c r="I39" s="52"/>
      <c r="J39" s="52"/>
      <c r="K39" s="53"/>
    </row>
    <row r="40" spans="1:11" x14ac:dyDescent="0.25">
      <c r="A40" s="6" t="s">
        <v>63</v>
      </c>
      <c r="B40" s="5"/>
      <c r="C40" s="5"/>
      <c r="D40" s="5"/>
      <c r="E40" s="39"/>
      <c r="F40" s="5"/>
      <c r="H40" s="5"/>
      <c r="I40" s="39"/>
      <c r="J40" s="39"/>
      <c r="K40" s="4"/>
    </row>
    <row r="41" spans="1:11" x14ac:dyDescent="0.25">
      <c r="A41" s="6" t="s">
        <v>64</v>
      </c>
      <c r="B41" s="5"/>
      <c r="C41" s="5"/>
      <c r="D41" s="5"/>
      <c r="E41" s="5"/>
      <c r="F41" s="5"/>
      <c r="G41" s="5"/>
      <c r="H41" s="5"/>
      <c r="I41" s="39"/>
      <c r="J41" s="39"/>
      <c r="K41" s="4"/>
    </row>
    <row r="42" spans="1:11" x14ac:dyDescent="0.25">
      <c r="A42" s="6" t="s">
        <v>65</v>
      </c>
    </row>
    <row r="43" spans="1:11" x14ac:dyDescent="0.25">
      <c r="A43" s="6" t="s">
        <v>66</v>
      </c>
      <c r="D43" s="40"/>
    </row>
    <row r="44" spans="1:11" x14ac:dyDescent="0.25">
      <c r="A44" s="6" t="s">
        <v>67</v>
      </c>
    </row>
    <row r="45" spans="1:11" x14ac:dyDescent="0.25">
      <c r="A45" s="6" t="s">
        <v>68</v>
      </c>
    </row>
    <row r="46" spans="1:11" x14ac:dyDescent="0.25">
      <c r="A46" s="6" t="s">
        <v>69</v>
      </c>
    </row>
    <row r="47" spans="1:11" x14ac:dyDescent="0.25">
      <c r="A47" s="6" t="s">
        <v>70</v>
      </c>
    </row>
    <row r="48" spans="1:11" x14ac:dyDescent="0.25">
      <c r="A48" s="6" t="s">
        <v>71</v>
      </c>
    </row>
    <row r="49" spans="1:11" x14ac:dyDescent="0.25">
      <c r="A49" s="6" t="s">
        <v>72</v>
      </c>
    </row>
    <row r="50" spans="1:11" x14ac:dyDescent="0.25">
      <c r="A50" s="6" t="s">
        <v>73</v>
      </c>
    </row>
    <row r="51" spans="1:11" x14ac:dyDescent="0.25">
      <c r="A51" s="6" t="s">
        <v>74</v>
      </c>
    </row>
    <row r="52" spans="1:11" x14ac:dyDescent="0.25">
      <c r="A52" s="6" t="s">
        <v>75</v>
      </c>
    </row>
    <row r="53" spans="1:11" x14ac:dyDescent="0.25">
      <c r="A53" s="6" t="s">
        <v>76</v>
      </c>
    </row>
    <row r="54" spans="1:11" x14ac:dyDescent="0.25">
      <c r="A54" s="43" t="s">
        <v>77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spans="1:11" x14ac:dyDescent="0.25">
      <c r="A55" s="36"/>
    </row>
    <row r="56" spans="1:11" ht="18" customHeight="1" x14ac:dyDescent="0.25">
      <c r="A56" s="123" t="s">
        <v>410</v>
      </c>
    </row>
  </sheetData>
  <mergeCells count="9">
    <mergeCell ref="A8:A9"/>
    <mergeCell ref="B8:F8"/>
    <mergeCell ref="G8:K8"/>
    <mergeCell ref="I1:M1"/>
    <mergeCell ref="I2:M2"/>
    <mergeCell ref="I3:M3"/>
    <mergeCell ref="B5:D5"/>
    <mergeCell ref="B6:D6"/>
    <mergeCell ref="B4:K4"/>
  </mergeCells>
  <phoneticPr fontId="6" type="noConversion"/>
  <pageMargins left="0.75" right="0.75" top="1" bottom="1" header="0.5" footer="0.5"/>
  <pageSetup orientation="portrait" horizontalDpi="300" verticalDpi="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IV56"/>
  <sheetViews>
    <sheetView topLeftCell="E1" zoomScale="213" zoomScaleNormal="130" workbookViewId="0">
      <selection activeCell="J10" sqref="J10"/>
    </sheetView>
  </sheetViews>
  <sheetFormatPr defaultRowHeight="12.5" x14ac:dyDescent="0.25"/>
  <cols>
    <col min="2" max="2" width="9.81640625" customWidth="1"/>
    <col min="3" max="3" width="8.81640625" customWidth="1"/>
    <col min="4" max="5" width="7.81640625" customWidth="1"/>
    <col min="6" max="6" width="8.81640625" customWidth="1"/>
    <col min="7" max="7" width="7.1796875" customWidth="1"/>
    <col min="8" max="8" width="7.54296875" customWidth="1"/>
    <col min="9" max="10" width="7.81640625" customWidth="1"/>
    <col min="11" max="11" width="8.1796875" customWidth="1"/>
  </cols>
  <sheetData>
    <row r="1" spans="1:256" ht="23" x14ac:dyDescent="0.25">
      <c r="A1" s="106"/>
      <c r="B1" s="170"/>
      <c r="C1" s="108"/>
      <c r="D1" s="109"/>
      <c r="E1" s="109"/>
      <c r="F1" s="109"/>
      <c r="G1" s="109"/>
      <c r="H1" s="170"/>
      <c r="I1" s="241" t="s">
        <v>407</v>
      </c>
      <c r="J1" s="241"/>
      <c r="K1" s="241"/>
      <c r="L1" s="241"/>
      <c r="M1" s="241"/>
      <c r="N1" s="170"/>
      <c r="O1" s="106"/>
      <c r="P1" s="106"/>
      <c r="Q1" s="110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11"/>
      <c r="AF1" s="106"/>
      <c r="AG1" s="106"/>
      <c r="AH1" s="110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10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</row>
    <row r="2" spans="1:256" ht="23" x14ac:dyDescent="0.25">
      <c r="A2" s="106"/>
      <c r="B2" s="170"/>
      <c r="C2" s="108"/>
      <c r="D2" s="109"/>
      <c r="E2" s="109"/>
      <c r="F2" s="109"/>
      <c r="G2" s="109"/>
      <c r="H2" s="112"/>
      <c r="I2" s="241" t="s">
        <v>408</v>
      </c>
      <c r="J2" s="241"/>
      <c r="K2" s="241"/>
      <c r="L2" s="241"/>
      <c r="M2" s="241"/>
      <c r="N2" s="170"/>
      <c r="O2" s="106"/>
      <c r="P2" s="106"/>
      <c r="Q2" s="110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11"/>
      <c r="AF2" s="106"/>
      <c r="AG2" s="106"/>
      <c r="AH2" s="110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10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</row>
    <row r="3" spans="1:256" ht="24" x14ac:dyDescent="0.95">
      <c r="A3" s="106"/>
      <c r="B3" s="170"/>
      <c r="C3" s="108"/>
      <c r="D3" s="109"/>
      <c r="E3" s="109"/>
      <c r="F3" s="109"/>
      <c r="G3" s="109"/>
      <c r="H3" s="113"/>
      <c r="I3" s="242">
        <v>3</v>
      </c>
      <c r="J3" s="242"/>
      <c r="K3" s="242"/>
      <c r="L3" s="242"/>
      <c r="M3" s="242"/>
      <c r="N3" s="171"/>
      <c r="O3" s="106"/>
      <c r="P3" s="106"/>
      <c r="Q3" s="110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1"/>
      <c r="AF3" s="106"/>
      <c r="AG3" s="106"/>
      <c r="AH3" s="110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10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6"/>
      <c r="ER3" s="106"/>
      <c r="ES3" s="106"/>
      <c r="ET3" s="106"/>
      <c r="EU3" s="106"/>
      <c r="EV3" s="106"/>
      <c r="EW3" s="106"/>
      <c r="EX3" s="106"/>
      <c r="EY3" s="106"/>
      <c r="EZ3" s="106"/>
      <c r="FA3" s="106"/>
      <c r="FB3" s="106"/>
      <c r="FC3" s="106"/>
      <c r="FD3" s="106"/>
      <c r="FE3" s="106"/>
      <c r="FF3" s="106"/>
      <c r="FG3" s="106"/>
      <c r="FH3" s="106"/>
      <c r="FI3" s="106"/>
      <c r="FJ3" s="106"/>
      <c r="FK3" s="106"/>
      <c r="FL3" s="106"/>
      <c r="FM3" s="106"/>
      <c r="FN3" s="106"/>
      <c r="FO3" s="106"/>
      <c r="FP3" s="106"/>
      <c r="FQ3" s="106"/>
      <c r="FR3" s="106"/>
      <c r="FS3" s="106"/>
      <c r="FT3" s="106"/>
      <c r="FU3" s="106"/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  <c r="GJ3" s="106"/>
      <c r="GK3" s="106"/>
      <c r="GL3" s="106"/>
      <c r="GM3" s="106"/>
      <c r="GN3" s="106"/>
      <c r="GO3" s="106"/>
      <c r="GP3" s="106"/>
      <c r="GQ3" s="106"/>
      <c r="GR3" s="106"/>
      <c r="GS3" s="106"/>
      <c r="GT3" s="106"/>
      <c r="GU3" s="106"/>
      <c r="GV3" s="106"/>
      <c r="GW3" s="106"/>
      <c r="GX3" s="106"/>
      <c r="GY3" s="106"/>
      <c r="GZ3" s="106"/>
      <c r="HA3" s="106"/>
      <c r="HB3" s="106"/>
      <c r="HC3" s="106"/>
      <c r="HD3" s="106"/>
      <c r="HE3" s="106"/>
      <c r="HF3" s="106"/>
      <c r="HG3" s="106"/>
      <c r="HH3" s="106"/>
      <c r="HI3" s="106"/>
      <c r="HJ3" s="106"/>
      <c r="HK3" s="106"/>
      <c r="HL3" s="106"/>
      <c r="HM3" s="106"/>
      <c r="HN3" s="106"/>
      <c r="HO3" s="106"/>
      <c r="HP3" s="106"/>
      <c r="HQ3" s="106"/>
      <c r="HR3" s="106"/>
      <c r="HS3" s="106"/>
      <c r="HT3" s="106"/>
      <c r="HU3" s="106"/>
      <c r="HV3" s="106"/>
      <c r="HW3" s="106"/>
      <c r="HX3" s="106"/>
      <c r="HY3" s="106"/>
      <c r="HZ3" s="106"/>
      <c r="IA3" s="106"/>
      <c r="IB3" s="106"/>
      <c r="IC3" s="106"/>
      <c r="ID3" s="106"/>
      <c r="IE3" s="106"/>
      <c r="IF3" s="106"/>
      <c r="IG3" s="106"/>
      <c r="IH3" s="106"/>
      <c r="II3" s="106"/>
      <c r="IJ3" s="106"/>
      <c r="IK3" s="106"/>
      <c r="IL3" s="106"/>
      <c r="IM3" s="106"/>
      <c r="IN3" s="106"/>
      <c r="IO3" s="106"/>
      <c r="IP3" s="106"/>
      <c r="IQ3" s="106"/>
      <c r="IR3" s="106"/>
      <c r="IS3" s="106"/>
      <c r="IT3" s="106"/>
      <c r="IU3" s="106"/>
      <c r="IV3" s="106"/>
    </row>
    <row r="4" spans="1:256" ht="23" x14ac:dyDescent="0.25">
      <c r="A4" s="106"/>
      <c r="B4" s="244" t="s">
        <v>409</v>
      </c>
      <c r="C4" s="244"/>
      <c r="D4" s="244"/>
      <c r="E4" s="244"/>
      <c r="F4" s="244"/>
      <c r="G4" s="244"/>
      <c r="H4" s="244"/>
      <c r="I4" s="244"/>
      <c r="J4" s="244"/>
      <c r="K4" s="244"/>
      <c r="L4" s="116"/>
      <c r="M4" s="116"/>
      <c r="N4" s="116"/>
      <c r="O4" s="106"/>
      <c r="P4" s="106"/>
      <c r="Q4" s="110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11"/>
      <c r="AF4" s="106"/>
      <c r="AG4" s="106"/>
      <c r="AH4" s="110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10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  <c r="FK4" s="106"/>
      <c r="FL4" s="106"/>
      <c r="FM4" s="106"/>
      <c r="FN4" s="106"/>
      <c r="FO4" s="106"/>
      <c r="FP4" s="106"/>
      <c r="FQ4" s="106"/>
      <c r="FR4" s="106"/>
      <c r="FS4" s="106"/>
      <c r="FT4" s="106"/>
      <c r="FU4" s="106"/>
      <c r="FV4" s="106"/>
      <c r="FW4" s="106"/>
      <c r="FX4" s="106"/>
      <c r="FY4" s="106"/>
      <c r="FZ4" s="106"/>
      <c r="GA4" s="106"/>
      <c r="GB4" s="106"/>
      <c r="GC4" s="106"/>
      <c r="GD4" s="106"/>
      <c r="GE4" s="106"/>
      <c r="GF4" s="106"/>
      <c r="GG4" s="106"/>
      <c r="GH4" s="106"/>
      <c r="GI4" s="106"/>
      <c r="GJ4" s="106"/>
      <c r="GK4" s="106"/>
      <c r="GL4" s="106"/>
      <c r="GM4" s="106"/>
      <c r="GN4" s="106"/>
      <c r="GO4" s="106"/>
      <c r="GP4" s="106"/>
      <c r="GQ4" s="106"/>
      <c r="GR4" s="106"/>
      <c r="GS4" s="106"/>
      <c r="GT4" s="106"/>
      <c r="GU4" s="106"/>
      <c r="GV4" s="106"/>
      <c r="GW4" s="106"/>
      <c r="GX4" s="106"/>
      <c r="GY4" s="106"/>
      <c r="GZ4" s="106"/>
      <c r="HA4" s="106"/>
      <c r="HB4" s="106"/>
      <c r="HC4" s="106"/>
      <c r="HD4" s="106"/>
      <c r="HE4" s="106"/>
      <c r="HF4" s="106"/>
      <c r="HG4" s="106"/>
      <c r="HH4" s="106"/>
      <c r="HI4" s="106"/>
      <c r="HJ4" s="106"/>
      <c r="HK4" s="106"/>
      <c r="HL4" s="106"/>
      <c r="HM4" s="106"/>
      <c r="HN4" s="106"/>
      <c r="HO4" s="106"/>
      <c r="HP4" s="106"/>
      <c r="HQ4" s="106"/>
      <c r="HR4" s="106"/>
      <c r="HS4" s="106"/>
      <c r="HT4" s="106"/>
      <c r="HU4" s="106"/>
      <c r="HV4" s="106"/>
      <c r="HW4" s="106"/>
      <c r="HX4" s="106"/>
      <c r="HY4" s="106"/>
      <c r="HZ4" s="106"/>
      <c r="IA4" s="106"/>
      <c r="IB4" s="106"/>
      <c r="IC4" s="106"/>
      <c r="ID4" s="106"/>
      <c r="IE4" s="106"/>
      <c r="IF4" s="106"/>
      <c r="IG4" s="106"/>
      <c r="IH4" s="106"/>
      <c r="II4" s="106"/>
      <c r="IJ4" s="106"/>
      <c r="IK4" s="106"/>
      <c r="IL4" s="106"/>
      <c r="IM4" s="106"/>
      <c r="IN4" s="106"/>
      <c r="IO4" s="106"/>
      <c r="IP4" s="106"/>
      <c r="IQ4" s="106"/>
      <c r="IR4" s="106"/>
      <c r="IS4" s="106"/>
      <c r="IT4" s="106"/>
      <c r="IU4" s="106"/>
      <c r="IV4" s="106"/>
    </row>
    <row r="5" spans="1:256" ht="12" customHeight="1" x14ac:dyDescent="0.25">
      <c r="A5" s="106"/>
      <c r="B5" s="243"/>
      <c r="C5" s="243"/>
      <c r="D5" s="243"/>
      <c r="E5" s="115"/>
      <c r="F5" s="115"/>
      <c r="G5" s="115"/>
      <c r="H5" s="172"/>
      <c r="I5" s="172"/>
      <c r="J5" s="172"/>
      <c r="K5" s="172"/>
      <c r="L5" s="172"/>
      <c r="M5" s="172"/>
      <c r="N5" s="172"/>
      <c r="O5" s="106"/>
      <c r="P5" s="106"/>
      <c r="Q5" s="110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11"/>
      <c r="AF5" s="106"/>
      <c r="AG5" s="106"/>
      <c r="AH5" s="110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10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H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V5" s="106"/>
      <c r="DW5" s="106"/>
      <c r="DX5" s="106"/>
      <c r="DY5" s="106"/>
      <c r="DZ5" s="106"/>
      <c r="EA5" s="106"/>
      <c r="EB5" s="106"/>
      <c r="EC5" s="106"/>
      <c r="ED5" s="106"/>
      <c r="EE5" s="106"/>
      <c r="EF5" s="106"/>
      <c r="EG5" s="106"/>
      <c r="EH5" s="106"/>
      <c r="EI5" s="106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6"/>
      <c r="EU5" s="106"/>
      <c r="EV5" s="106"/>
      <c r="EW5" s="106"/>
      <c r="EX5" s="106"/>
      <c r="EY5" s="106"/>
      <c r="EZ5" s="106"/>
      <c r="FA5" s="106"/>
      <c r="FB5" s="106"/>
      <c r="FC5" s="106"/>
      <c r="FD5" s="106"/>
      <c r="FE5" s="106"/>
      <c r="FF5" s="106"/>
      <c r="FG5" s="106"/>
      <c r="FH5" s="106"/>
      <c r="FI5" s="106"/>
      <c r="FJ5" s="106"/>
      <c r="FK5" s="106"/>
      <c r="FL5" s="106"/>
      <c r="FM5" s="106"/>
      <c r="FN5" s="106"/>
      <c r="FO5" s="106"/>
      <c r="FP5" s="106"/>
      <c r="FQ5" s="106"/>
      <c r="FR5" s="106"/>
      <c r="FS5" s="106"/>
      <c r="FT5" s="106"/>
      <c r="FU5" s="106"/>
      <c r="FV5" s="106"/>
      <c r="FW5" s="106"/>
      <c r="FX5" s="106"/>
      <c r="FY5" s="106"/>
      <c r="FZ5" s="106"/>
      <c r="GA5" s="106"/>
      <c r="GB5" s="106"/>
      <c r="GC5" s="106"/>
      <c r="GD5" s="106"/>
      <c r="GE5" s="106"/>
      <c r="GF5" s="106"/>
      <c r="GG5" s="106"/>
      <c r="GH5" s="106"/>
      <c r="GI5" s="106"/>
      <c r="GJ5" s="106"/>
      <c r="GK5" s="106"/>
      <c r="GL5" s="106"/>
      <c r="GM5" s="106"/>
      <c r="GN5" s="106"/>
      <c r="GO5" s="106"/>
      <c r="GP5" s="106"/>
      <c r="GQ5" s="106"/>
      <c r="GR5" s="106"/>
      <c r="GS5" s="106"/>
      <c r="GT5" s="106"/>
      <c r="GU5" s="106"/>
      <c r="GV5" s="106"/>
      <c r="GW5" s="106"/>
      <c r="GX5" s="106"/>
      <c r="GY5" s="106"/>
      <c r="GZ5" s="106"/>
      <c r="HA5" s="106"/>
      <c r="HB5" s="106"/>
      <c r="HC5" s="106"/>
      <c r="HD5" s="106"/>
      <c r="HE5" s="106"/>
      <c r="HF5" s="106"/>
      <c r="HG5" s="106"/>
      <c r="HH5" s="106"/>
      <c r="HI5" s="106"/>
      <c r="HJ5" s="106"/>
      <c r="HK5" s="106"/>
      <c r="HL5" s="106"/>
      <c r="HM5" s="106"/>
      <c r="HN5" s="106"/>
      <c r="HO5" s="106"/>
      <c r="HP5" s="106"/>
      <c r="HQ5" s="106"/>
      <c r="HR5" s="106"/>
      <c r="HS5" s="106"/>
      <c r="HT5" s="106"/>
      <c r="HU5" s="106"/>
      <c r="HV5" s="106"/>
      <c r="HW5" s="106"/>
      <c r="HX5" s="106"/>
      <c r="HY5" s="106"/>
      <c r="HZ5" s="106"/>
      <c r="IA5" s="106"/>
      <c r="IB5" s="106"/>
      <c r="IC5" s="106"/>
      <c r="ID5" s="106"/>
      <c r="IE5" s="106"/>
      <c r="IF5" s="106"/>
      <c r="IG5" s="106"/>
      <c r="IH5" s="106"/>
      <c r="II5" s="106"/>
      <c r="IJ5" s="106"/>
      <c r="IK5" s="106"/>
      <c r="IL5" s="106"/>
      <c r="IM5" s="106"/>
      <c r="IN5" s="106"/>
      <c r="IO5" s="106"/>
      <c r="IP5" s="106"/>
      <c r="IQ5" s="106"/>
      <c r="IR5" s="106"/>
      <c r="IS5" s="106"/>
      <c r="IT5" s="106"/>
      <c r="IU5" s="106"/>
      <c r="IV5" s="106"/>
    </row>
    <row r="6" spans="1:256" s="55" customFormat="1" ht="24" x14ac:dyDescent="0.85">
      <c r="A6" s="106"/>
      <c r="B6" s="242">
        <v>3</v>
      </c>
      <c r="C6" s="242"/>
      <c r="D6" s="242"/>
      <c r="E6" s="118"/>
      <c r="F6" s="118"/>
      <c r="G6" s="118"/>
      <c r="H6" s="119"/>
      <c r="I6" s="119"/>
      <c r="J6" s="119"/>
      <c r="K6" s="119"/>
      <c r="L6" s="119"/>
      <c r="M6" s="119"/>
      <c r="N6" s="119"/>
      <c r="O6" s="106"/>
      <c r="P6" s="106"/>
      <c r="Q6" s="110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11"/>
      <c r="AF6" s="106"/>
      <c r="AG6" s="106"/>
      <c r="AH6" s="110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10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/>
      <c r="DG6" s="106"/>
      <c r="DH6" s="106"/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  <c r="GW6" s="106"/>
      <c r="GX6" s="106"/>
      <c r="GY6" s="106"/>
      <c r="GZ6" s="106"/>
      <c r="HA6" s="106"/>
      <c r="HB6" s="106"/>
      <c r="HC6" s="106"/>
      <c r="HD6" s="106"/>
      <c r="HE6" s="106"/>
      <c r="HF6" s="106"/>
      <c r="HG6" s="106"/>
      <c r="HH6" s="106"/>
      <c r="HI6" s="106"/>
      <c r="HJ6" s="106"/>
      <c r="HK6" s="106"/>
      <c r="HL6" s="106"/>
      <c r="HM6" s="106"/>
      <c r="HN6" s="106"/>
      <c r="HO6" s="106"/>
      <c r="HP6" s="106"/>
      <c r="HQ6" s="106"/>
      <c r="HR6" s="106"/>
      <c r="HS6" s="106"/>
      <c r="HT6" s="106"/>
      <c r="HU6" s="106"/>
      <c r="HV6" s="106"/>
      <c r="HW6" s="106"/>
      <c r="HX6" s="106"/>
      <c r="HY6" s="106"/>
      <c r="HZ6" s="106"/>
      <c r="IA6" s="106"/>
      <c r="IB6" s="106"/>
      <c r="IC6" s="106"/>
      <c r="ID6" s="106"/>
      <c r="IE6" s="106"/>
      <c r="IF6" s="106"/>
      <c r="IG6" s="106"/>
      <c r="IH6" s="106"/>
      <c r="II6" s="106"/>
      <c r="IJ6" s="106"/>
      <c r="IK6" s="106"/>
      <c r="IL6" s="106"/>
      <c r="IM6" s="106"/>
      <c r="IN6" s="106"/>
      <c r="IO6" s="106"/>
      <c r="IP6" s="106"/>
      <c r="IQ6" s="106"/>
      <c r="IR6" s="106"/>
      <c r="IS6" s="106"/>
      <c r="IT6" s="106"/>
      <c r="IU6" s="106"/>
      <c r="IV6" s="106"/>
    </row>
    <row r="7" spans="1:256" ht="10.5" customHeight="1" x14ac:dyDescent="0.25"/>
    <row r="8" spans="1:256" ht="19.5" customHeight="1" x14ac:dyDescent="0.25">
      <c r="A8" s="238" t="s">
        <v>78</v>
      </c>
      <c r="B8" s="240" t="s">
        <v>87</v>
      </c>
      <c r="C8" s="240"/>
      <c r="D8" s="240"/>
      <c r="E8" s="240"/>
      <c r="F8" s="240"/>
      <c r="G8" s="240" t="s">
        <v>88</v>
      </c>
      <c r="H8" s="240"/>
      <c r="I8" s="240"/>
      <c r="J8" s="240"/>
      <c r="K8" s="240"/>
    </row>
    <row r="9" spans="1:256" ht="34.5" customHeight="1" x14ac:dyDescent="0.25">
      <c r="A9" s="239"/>
      <c r="B9" s="177" t="s">
        <v>446</v>
      </c>
      <c r="C9" s="129" t="s">
        <v>80</v>
      </c>
      <c r="D9" s="130" t="s">
        <v>84</v>
      </c>
      <c r="E9" s="131" t="s">
        <v>82</v>
      </c>
      <c r="F9" s="169" t="s">
        <v>83</v>
      </c>
      <c r="G9" s="129" t="s">
        <v>79</v>
      </c>
      <c r="H9" s="129" t="s">
        <v>80</v>
      </c>
      <c r="I9" s="130" t="s">
        <v>84</v>
      </c>
      <c r="J9" s="131" t="s">
        <v>82</v>
      </c>
      <c r="K9" s="169" t="s">
        <v>83</v>
      </c>
      <c r="M9" s="130" t="str">
        <f>'Table 2(នា អកត)'!Q4</f>
        <v>មធ្យមសិក្សាបឋមភូមិ</v>
      </c>
      <c r="N9" s="130" t="str">
        <f>'Table 2(នា អកត)'!R4</f>
        <v>មធ្យមសិក្សាទុតិយភូមិ</v>
      </c>
    </row>
    <row r="10" spans="1:256" x14ac:dyDescent="0.25">
      <c r="A10" s="6" t="s">
        <v>20</v>
      </c>
      <c r="B10" s="5">
        <v>96</v>
      </c>
      <c r="C10" s="5" t="s">
        <v>49</v>
      </c>
      <c r="D10" s="5">
        <v>14</v>
      </c>
      <c r="E10" s="5">
        <v>1</v>
      </c>
      <c r="F10" s="5">
        <f>SUM(B10:E10)</f>
        <v>111</v>
      </c>
      <c r="G10" s="5">
        <v>230</v>
      </c>
      <c r="H10" s="5">
        <v>12069</v>
      </c>
      <c r="I10" s="5">
        <v>101</v>
      </c>
      <c r="J10" s="5">
        <v>7</v>
      </c>
      <c r="K10" s="4">
        <f>SUM(G10:J10)</f>
        <v>12407</v>
      </c>
    </row>
    <row r="11" spans="1:256" x14ac:dyDescent="0.25">
      <c r="A11" s="6" t="s">
        <v>0</v>
      </c>
      <c r="B11" s="5">
        <v>149</v>
      </c>
      <c r="C11" s="5" t="s">
        <v>49</v>
      </c>
      <c r="D11" s="5">
        <v>62</v>
      </c>
      <c r="E11" s="5">
        <v>2</v>
      </c>
      <c r="F11" s="5">
        <f t="shared" ref="F11:F38" si="0">SUM(B11:E11)</f>
        <v>213</v>
      </c>
      <c r="G11" s="5">
        <v>446</v>
      </c>
      <c r="H11" s="5">
        <v>25526</v>
      </c>
      <c r="I11" s="5">
        <v>394</v>
      </c>
      <c r="J11" s="5">
        <v>14</v>
      </c>
      <c r="K11" s="4">
        <f t="shared" ref="K11:K38" si="1">SUM(G11:J11)</f>
        <v>26380</v>
      </c>
    </row>
    <row r="12" spans="1:256" x14ac:dyDescent="0.25">
      <c r="A12" s="6" t="s">
        <v>1</v>
      </c>
      <c r="B12" s="5">
        <v>213</v>
      </c>
      <c r="C12" s="5">
        <v>3521</v>
      </c>
      <c r="D12" s="5">
        <v>96</v>
      </c>
      <c r="E12" s="5">
        <v>5</v>
      </c>
      <c r="F12" s="5">
        <f t="shared" si="0"/>
        <v>3835</v>
      </c>
      <c r="G12" s="5">
        <v>448</v>
      </c>
      <c r="H12" s="5">
        <v>31909</v>
      </c>
      <c r="I12" s="5">
        <v>938</v>
      </c>
      <c r="J12" s="5">
        <v>33</v>
      </c>
      <c r="K12" s="4">
        <f t="shared" si="1"/>
        <v>33328</v>
      </c>
    </row>
    <row r="13" spans="1:256" x14ac:dyDescent="0.25">
      <c r="A13" s="6" t="s">
        <v>2</v>
      </c>
      <c r="B13" s="5">
        <v>371</v>
      </c>
      <c r="C13" s="5">
        <v>3114</v>
      </c>
      <c r="D13" s="5">
        <v>173</v>
      </c>
      <c r="E13" s="5">
        <v>7</v>
      </c>
      <c r="F13" s="5">
        <f t="shared" si="0"/>
        <v>3665</v>
      </c>
      <c r="G13" s="5">
        <v>823</v>
      </c>
      <c r="H13" s="5">
        <v>33740</v>
      </c>
      <c r="I13" s="5">
        <v>1949</v>
      </c>
      <c r="J13" s="5">
        <v>73</v>
      </c>
      <c r="K13" s="4">
        <f t="shared" si="1"/>
        <v>36585</v>
      </c>
    </row>
    <row r="14" spans="1:256" x14ac:dyDescent="0.25">
      <c r="A14" s="6" t="s">
        <v>3</v>
      </c>
      <c r="B14" s="5">
        <v>500</v>
      </c>
      <c r="C14" s="5">
        <v>3005</v>
      </c>
      <c r="D14" s="5">
        <v>200</v>
      </c>
      <c r="E14" s="5">
        <v>13</v>
      </c>
      <c r="F14" s="5">
        <f t="shared" si="0"/>
        <v>3718</v>
      </c>
      <c r="G14" s="5">
        <v>1128</v>
      </c>
      <c r="H14" s="5">
        <v>33287</v>
      </c>
      <c r="I14" s="5">
        <v>3089</v>
      </c>
      <c r="J14" s="5">
        <v>149</v>
      </c>
      <c r="K14" s="4">
        <f t="shared" si="1"/>
        <v>37653</v>
      </c>
    </row>
    <row r="15" spans="1:256" x14ac:dyDescent="0.25">
      <c r="A15" s="6" t="s">
        <v>4</v>
      </c>
      <c r="B15" s="5">
        <v>541</v>
      </c>
      <c r="C15" s="5">
        <v>3133</v>
      </c>
      <c r="D15" s="5">
        <v>222</v>
      </c>
      <c r="E15" s="5">
        <v>19</v>
      </c>
      <c r="F15" s="5">
        <f t="shared" si="0"/>
        <v>3915</v>
      </c>
      <c r="G15" s="5">
        <v>1420</v>
      </c>
      <c r="H15" s="5">
        <v>33345</v>
      </c>
      <c r="I15" s="5">
        <v>4698</v>
      </c>
      <c r="J15" s="5">
        <v>211</v>
      </c>
      <c r="K15" s="4">
        <f t="shared" si="1"/>
        <v>39674</v>
      </c>
    </row>
    <row r="16" spans="1:256" x14ac:dyDescent="0.25">
      <c r="A16" s="6" t="s">
        <v>5</v>
      </c>
      <c r="B16" s="5">
        <v>689</v>
      </c>
      <c r="C16" s="5">
        <v>2294</v>
      </c>
      <c r="D16" s="5">
        <v>278</v>
      </c>
      <c r="E16" s="5">
        <v>28</v>
      </c>
      <c r="F16" s="5">
        <f t="shared" si="0"/>
        <v>3289</v>
      </c>
      <c r="G16" s="5">
        <v>1557</v>
      </c>
      <c r="H16" s="5">
        <v>31062</v>
      </c>
      <c r="I16" s="5">
        <v>5730</v>
      </c>
      <c r="J16" s="5">
        <v>266</v>
      </c>
      <c r="K16" s="4">
        <f t="shared" si="1"/>
        <v>38615</v>
      </c>
    </row>
    <row r="17" spans="1:11" x14ac:dyDescent="0.25">
      <c r="A17" s="6" t="s">
        <v>6</v>
      </c>
      <c r="B17" s="5">
        <v>551</v>
      </c>
      <c r="C17" s="5">
        <v>4282</v>
      </c>
      <c r="D17" s="5">
        <v>304</v>
      </c>
      <c r="E17" s="5">
        <v>33</v>
      </c>
      <c r="F17" s="5">
        <f t="shared" si="0"/>
        <v>5170</v>
      </c>
      <c r="G17" s="5">
        <v>1864</v>
      </c>
      <c r="H17" s="5">
        <v>30946</v>
      </c>
      <c r="I17" s="5">
        <v>6262</v>
      </c>
      <c r="J17" s="5">
        <v>364</v>
      </c>
      <c r="K17" s="4">
        <f t="shared" si="1"/>
        <v>39436</v>
      </c>
    </row>
    <row r="18" spans="1:11" x14ac:dyDescent="0.25">
      <c r="A18" s="6" t="s">
        <v>7</v>
      </c>
      <c r="B18" s="5">
        <v>560</v>
      </c>
      <c r="C18" s="5">
        <v>4780</v>
      </c>
      <c r="D18" s="5">
        <v>337</v>
      </c>
      <c r="E18" s="5">
        <v>40</v>
      </c>
      <c r="F18" s="5">
        <f t="shared" si="0"/>
        <v>5717</v>
      </c>
      <c r="G18" s="5">
        <v>2059</v>
      </c>
      <c r="H18" s="5">
        <v>30890</v>
      </c>
      <c r="I18" s="5">
        <v>6538</v>
      </c>
      <c r="J18" s="5">
        <v>497</v>
      </c>
      <c r="K18" s="4">
        <f t="shared" si="1"/>
        <v>39984</v>
      </c>
    </row>
    <row r="19" spans="1:11" x14ac:dyDescent="0.25">
      <c r="A19" s="6" t="s">
        <v>8</v>
      </c>
      <c r="B19" s="5">
        <v>679</v>
      </c>
      <c r="C19" s="5">
        <v>4730</v>
      </c>
      <c r="D19" s="5">
        <v>373</v>
      </c>
      <c r="E19" s="5">
        <v>49</v>
      </c>
      <c r="F19" s="5">
        <f t="shared" si="0"/>
        <v>5831</v>
      </c>
      <c r="G19" s="5">
        <v>2195</v>
      </c>
      <c r="H19" s="5">
        <v>31384</v>
      </c>
      <c r="I19" s="5">
        <v>6265</v>
      </c>
      <c r="J19" s="5">
        <v>650</v>
      </c>
      <c r="K19" s="4">
        <f t="shared" si="1"/>
        <v>40494</v>
      </c>
    </row>
    <row r="20" spans="1:11" x14ac:dyDescent="0.25">
      <c r="A20" s="6" t="s">
        <v>9</v>
      </c>
      <c r="B20" s="5">
        <v>416</v>
      </c>
      <c r="C20" s="5">
        <v>4773</v>
      </c>
      <c r="D20" s="5">
        <v>394</v>
      </c>
      <c r="E20" s="5">
        <v>61</v>
      </c>
      <c r="F20" s="5">
        <f t="shared" si="0"/>
        <v>5644</v>
      </c>
      <c r="G20" s="5">
        <v>2181</v>
      </c>
      <c r="H20" s="5">
        <v>31553</v>
      </c>
      <c r="I20" s="5">
        <v>5602</v>
      </c>
      <c r="J20" s="5">
        <v>817</v>
      </c>
      <c r="K20" s="4">
        <f t="shared" si="1"/>
        <v>40153</v>
      </c>
    </row>
    <row r="21" spans="1:11" x14ac:dyDescent="0.25">
      <c r="A21" s="6" t="s">
        <v>10</v>
      </c>
      <c r="B21" s="5">
        <v>397</v>
      </c>
      <c r="C21" s="5">
        <v>4665</v>
      </c>
      <c r="D21" s="5">
        <v>397</v>
      </c>
      <c r="E21" s="5">
        <v>66</v>
      </c>
      <c r="F21" s="5">
        <f t="shared" si="0"/>
        <v>5525</v>
      </c>
      <c r="G21" s="5">
        <v>1789</v>
      </c>
      <c r="H21" s="5">
        <v>32858</v>
      </c>
      <c r="I21" s="5">
        <v>5064</v>
      </c>
      <c r="J21" s="5">
        <v>919</v>
      </c>
      <c r="K21" s="4">
        <f t="shared" si="1"/>
        <v>40630</v>
      </c>
    </row>
    <row r="22" spans="1:11" x14ac:dyDescent="0.25">
      <c r="A22" s="6" t="s">
        <v>11</v>
      </c>
      <c r="B22" s="5">
        <v>221</v>
      </c>
      <c r="C22" s="5">
        <v>4555</v>
      </c>
      <c r="D22" s="5">
        <v>407</v>
      </c>
      <c r="E22" s="5">
        <v>80</v>
      </c>
      <c r="F22" s="5">
        <f t="shared" si="0"/>
        <v>5263</v>
      </c>
      <c r="G22" s="5">
        <v>1714</v>
      </c>
      <c r="H22" s="5">
        <v>33142</v>
      </c>
      <c r="I22" s="5">
        <v>4848</v>
      </c>
      <c r="J22" s="5">
        <v>1084</v>
      </c>
      <c r="K22" s="4">
        <f t="shared" si="1"/>
        <v>40788</v>
      </c>
    </row>
    <row r="23" spans="1:11" x14ac:dyDescent="0.25">
      <c r="A23" s="6" t="s">
        <v>12</v>
      </c>
      <c r="B23" s="5">
        <v>220</v>
      </c>
      <c r="C23" s="5">
        <v>4539</v>
      </c>
      <c r="D23" s="5">
        <v>358</v>
      </c>
      <c r="E23" s="5">
        <v>82</v>
      </c>
      <c r="F23" s="5">
        <f t="shared" si="0"/>
        <v>5199</v>
      </c>
      <c r="G23" s="5">
        <v>1712</v>
      </c>
      <c r="H23" s="5">
        <v>35025</v>
      </c>
      <c r="I23" s="5">
        <v>4844</v>
      </c>
      <c r="J23" s="5">
        <v>1216</v>
      </c>
      <c r="K23" s="4">
        <f t="shared" si="1"/>
        <v>42797</v>
      </c>
    </row>
    <row r="24" spans="1:11" x14ac:dyDescent="0.25">
      <c r="A24" s="6" t="s">
        <v>13</v>
      </c>
      <c r="B24" s="5">
        <v>203</v>
      </c>
      <c r="C24" s="5">
        <v>4693</v>
      </c>
      <c r="D24" s="5">
        <v>354</v>
      </c>
      <c r="E24" s="5">
        <v>89</v>
      </c>
      <c r="F24" s="5">
        <f t="shared" si="0"/>
        <v>5339</v>
      </c>
      <c r="G24" s="5">
        <v>1700</v>
      </c>
      <c r="H24" s="5">
        <v>36798</v>
      </c>
      <c r="I24" s="5">
        <v>5402</v>
      </c>
      <c r="J24" s="5">
        <v>1350</v>
      </c>
      <c r="K24" s="4">
        <f t="shared" si="1"/>
        <v>45250</v>
      </c>
    </row>
    <row r="25" spans="1:11" x14ac:dyDescent="0.25">
      <c r="A25" s="6" t="s">
        <v>14</v>
      </c>
      <c r="B25" s="5">
        <v>184</v>
      </c>
      <c r="C25" s="5">
        <v>4744</v>
      </c>
      <c r="D25" s="5">
        <v>363</v>
      </c>
      <c r="E25" s="5">
        <v>90</v>
      </c>
      <c r="F25" s="5">
        <f t="shared" si="0"/>
        <v>5381</v>
      </c>
      <c r="G25" s="5">
        <v>1586</v>
      </c>
      <c r="H25" s="5">
        <v>39159</v>
      </c>
      <c r="I25" s="5">
        <v>6001</v>
      </c>
      <c r="J25" s="5">
        <v>1244</v>
      </c>
      <c r="K25" s="4">
        <f t="shared" si="1"/>
        <v>47990</v>
      </c>
    </row>
    <row r="26" spans="1:11" x14ac:dyDescent="0.25">
      <c r="A26" s="6" t="s">
        <v>15</v>
      </c>
      <c r="B26" s="5">
        <v>188</v>
      </c>
      <c r="C26" s="5">
        <v>4845</v>
      </c>
      <c r="D26" s="5">
        <v>350</v>
      </c>
      <c r="E26" s="5">
        <v>92</v>
      </c>
      <c r="F26" s="5">
        <f t="shared" si="0"/>
        <v>5475</v>
      </c>
      <c r="G26" s="5">
        <v>1516</v>
      </c>
      <c r="H26" s="5">
        <v>40691</v>
      </c>
      <c r="I26" s="5">
        <v>5851</v>
      </c>
      <c r="J26" s="5">
        <v>1561</v>
      </c>
      <c r="K26" s="4">
        <f t="shared" si="1"/>
        <v>49619</v>
      </c>
    </row>
    <row r="27" spans="1:11" x14ac:dyDescent="0.25">
      <c r="A27" s="6" t="s">
        <v>16</v>
      </c>
      <c r="B27" s="5">
        <v>812</v>
      </c>
      <c r="C27" s="5">
        <v>4899</v>
      </c>
      <c r="D27" s="5">
        <v>351</v>
      </c>
      <c r="E27" s="5">
        <v>106</v>
      </c>
      <c r="F27" s="5">
        <f t="shared" si="0"/>
        <v>6168</v>
      </c>
      <c r="G27" s="5">
        <v>1438</v>
      </c>
      <c r="H27" s="5">
        <v>43469</v>
      </c>
      <c r="I27" s="5">
        <v>6304</v>
      </c>
      <c r="J27" s="5">
        <v>1370</v>
      </c>
      <c r="K27" s="4">
        <f t="shared" si="1"/>
        <v>52581</v>
      </c>
    </row>
    <row r="28" spans="1:11" s="42" customFormat="1" x14ac:dyDescent="0.25">
      <c r="A28" s="6" t="s">
        <v>17</v>
      </c>
      <c r="B28" s="5">
        <v>793</v>
      </c>
      <c r="C28" s="5">
        <v>5026</v>
      </c>
      <c r="D28" s="5">
        <v>350</v>
      </c>
      <c r="E28" s="5">
        <v>125</v>
      </c>
      <c r="F28" s="5">
        <f t="shared" si="0"/>
        <v>6294</v>
      </c>
      <c r="G28" s="5">
        <v>1393</v>
      </c>
      <c r="H28" s="5">
        <v>45443</v>
      </c>
      <c r="I28" s="5">
        <v>5926</v>
      </c>
      <c r="J28" s="5">
        <v>1653</v>
      </c>
      <c r="K28" s="4">
        <f t="shared" si="1"/>
        <v>54415</v>
      </c>
    </row>
    <row r="29" spans="1:11" x14ac:dyDescent="0.25">
      <c r="A29" s="6" t="s">
        <v>18</v>
      </c>
      <c r="B29" s="5">
        <v>806</v>
      </c>
      <c r="C29" s="5">
        <v>5156</v>
      </c>
      <c r="D29" s="5">
        <v>355</v>
      </c>
      <c r="E29" s="5">
        <v>132</v>
      </c>
      <c r="F29" s="5">
        <f t="shared" si="0"/>
        <v>6449</v>
      </c>
      <c r="G29" s="5">
        <v>1414</v>
      </c>
      <c r="H29" s="5">
        <v>48370</v>
      </c>
      <c r="I29" s="5">
        <v>5903</v>
      </c>
      <c r="J29" s="5">
        <v>1860</v>
      </c>
      <c r="K29" s="4">
        <f t="shared" si="1"/>
        <v>57547</v>
      </c>
    </row>
    <row r="30" spans="1:11" x14ac:dyDescent="0.25">
      <c r="A30" s="6" t="s">
        <v>19</v>
      </c>
      <c r="B30" s="5">
        <v>874</v>
      </c>
      <c r="C30" s="5">
        <v>5274</v>
      </c>
      <c r="D30" s="5">
        <v>363</v>
      </c>
      <c r="E30" s="5">
        <v>140</v>
      </c>
      <c r="F30" s="5">
        <f t="shared" si="0"/>
        <v>6651</v>
      </c>
      <c r="G30" s="5">
        <v>1523</v>
      </c>
      <c r="H30" s="5">
        <v>50960</v>
      </c>
      <c r="I30" s="5">
        <v>5951</v>
      </c>
      <c r="J30" s="5">
        <v>2262</v>
      </c>
      <c r="K30" s="4">
        <f t="shared" si="1"/>
        <v>60696</v>
      </c>
    </row>
    <row r="31" spans="1:11" x14ac:dyDescent="0.25">
      <c r="A31" s="6" t="s">
        <v>22</v>
      </c>
      <c r="B31" s="5">
        <v>915</v>
      </c>
      <c r="C31" s="5">
        <v>5468</v>
      </c>
      <c r="D31" s="5">
        <v>367</v>
      </c>
      <c r="E31" s="5">
        <v>151</v>
      </c>
      <c r="F31" s="5">
        <f t="shared" si="0"/>
        <v>6901</v>
      </c>
      <c r="G31" s="5">
        <v>1605</v>
      </c>
      <c r="H31" s="5">
        <v>55448</v>
      </c>
      <c r="I31" s="5">
        <v>6860</v>
      </c>
      <c r="J31" s="5">
        <v>2299</v>
      </c>
      <c r="K31" s="4">
        <f t="shared" si="1"/>
        <v>66212</v>
      </c>
    </row>
    <row r="32" spans="1:11" x14ac:dyDescent="0.25">
      <c r="A32" s="6" t="s">
        <v>23</v>
      </c>
      <c r="B32" s="5">
        <v>1015</v>
      </c>
      <c r="C32" s="5">
        <v>5741</v>
      </c>
      <c r="D32" s="5">
        <v>379</v>
      </c>
      <c r="E32" s="5">
        <v>163</v>
      </c>
      <c r="F32" s="5">
        <f t="shared" si="0"/>
        <v>7298</v>
      </c>
      <c r="G32" s="5">
        <v>1772</v>
      </c>
      <c r="H32" s="5">
        <v>60698</v>
      </c>
      <c r="I32" s="5">
        <v>7795</v>
      </c>
      <c r="J32" s="5">
        <v>2443</v>
      </c>
      <c r="K32" s="4">
        <f t="shared" si="1"/>
        <v>72708</v>
      </c>
    </row>
    <row r="33" spans="1:11" x14ac:dyDescent="0.25">
      <c r="A33" s="6" t="s">
        <v>29</v>
      </c>
      <c r="B33" s="5">
        <v>1145</v>
      </c>
      <c r="C33" s="5">
        <v>5915</v>
      </c>
      <c r="D33" s="5">
        <v>411</v>
      </c>
      <c r="E33" s="5">
        <v>183</v>
      </c>
      <c r="F33" s="5">
        <f t="shared" si="0"/>
        <v>7654</v>
      </c>
      <c r="G33" s="5">
        <v>2041</v>
      </c>
      <c r="H33" s="5">
        <v>59897</v>
      </c>
      <c r="I33" s="5">
        <v>8799</v>
      </c>
      <c r="J33" s="5">
        <v>2721</v>
      </c>
      <c r="K33" s="4">
        <f t="shared" si="1"/>
        <v>73458</v>
      </c>
    </row>
    <row r="34" spans="1:11" x14ac:dyDescent="0.25">
      <c r="A34" s="6" t="s">
        <v>30</v>
      </c>
      <c r="B34" s="5">
        <v>1238</v>
      </c>
      <c r="C34" s="5">
        <v>6063</v>
      </c>
      <c r="D34" s="5">
        <v>486</v>
      </c>
      <c r="E34" s="5">
        <v>212</v>
      </c>
      <c r="F34" s="5">
        <f t="shared" si="0"/>
        <v>7999</v>
      </c>
      <c r="G34" s="5">
        <v>2205</v>
      </c>
      <c r="H34" s="5">
        <v>60985</v>
      </c>
      <c r="I34" s="5">
        <v>9566</v>
      </c>
      <c r="J34" s="5">
        <v>3165</v>
      </c>
      <c r="K34" s="4">
        <f t="shared" si="1"/>
        <v>75921</v>
      </c>
    </row>
    <row r="35" spans="1:11" x14ac:dyDescent="0.25">
      <c r="A35" s="6" t="s">
        <v>35</v>
      </c>
      <c r="B35" s="5">
        <v>1345</v>
      </c>
      <c r="C35" s="5">
        <v>6180</v>
      </c>
      <c r="D35" s="5">
        <v>578</v>
      </c>
      <c r="E35" s="5">
        <v>232</v>
      </c>
      <c r="F35" s="5">
        <f t="shared" si="0"/>
        <v>8335</v>
      </c>
      <c r="G35" s="5">
        <v>2316</v>
      </c>
      <c r="H35" s="5">
        <v>61648</v>
      </c>
      <c r="I35" s="5">
        <v>10744</v>
      </c>
      <c r="J35" s="5">
        <v>3513</v>
      </c>
      <c r="K35" s="4">
        <f t="shared" si="1"/>
        <v>78221</v>
      </c>
    </row>
    <row r="36" spans="1:11" x14ac:dyDescent="0.25">
      <c r="A36" s="6" t="s">
        <v>36</v>
      </c>
      <c r="B36" s="5">
        <v>1429</v>
      </c>
      <c r="C36" s="5">
        <v>6277</v>
      </c>
      <c r="D36" s="5">
        <v>670</v>
      </c>
      <c r="E36" s="5">
        <v>252</v>
      </c>
      <c r="F36" s="5">
        <f t="shared" si="0"/>
        <v>8628</v>
      </c>
      <c r="G36" s="5">
        <v>2413</v>
      </c>
      <c r="H36" s="5">
        <v>61901</v>
      </c>
      <c r="I36" s="5">
        <v>11783</v>
      </c>
      <c r="J36" s="5">
        <v>3996</v>
      </c>
      <c r="K36" s="4">
        <f t="shared" si="1"/>
        <v>80093</v>
      </c>
    </row>
    <row r="37" spans="1:11" x14ac:dyDescent="0.25">
      <c r="A37" s="6" t="s">
        <v>50</v>
      </c>
      <c r="B37" s="5">
        <v>1524</v>
      </c>
      <c r="C37" s="5">
        <v>6365</v>
      </c>
      <c r="D37" s="5">
        <v>846</v>
      </c>
      <c r="E37" s="5">
        <v>283</v>
      </c>
      <c r="F37" s="5">
        <f t="shared" si="0"/>
        <v>9018</v>
      </c>
      <c r="G37" s="5">
        <v>2548</v>
      </c>
      <c r="H37" s="5">
        <v>61249</v>
      </c>
      <c r="I37" s="5">
        <v>12633</v>
      </c>
      <c r="J37" s="5">
        <v>4303</v>
      </c>
      <c r="K37" s="4">
        <f t="shared" si="1"/>
        <v>80733</v>
      </c>
    </row>
    <row r="38" spans="1:11" x14ac:dyDescent="0.25">
      <c r="A38" s="6" t="s">
        <v>51</v>
      </c>
      <c r="B38" s="5">
        <v>1634</v>
      </c>
      <c r="C38" s="5">
        <v>6476</v>
      </c>
      <c r="D38" s="5">
        <v>1006</v>
      </c>
      <c r="E38" s="5">
        <v>315</v>
      </c>
      <c r="F38" s="5">
        <f t="shared" si="0"/>
        <v>9431</v>
      </c>
      <c r="G38" s="5">
        <v>2678</v>
      </c>
      <c r="H38" s="5">
        <v>60384</v>
      </c>
      <c r="I38" s="5">
        <v>13300</v>
      </c>
      <c r="J38" s="5">
        <v>4968</v>
      </c>
      <c r="K38" s="4">
        <f t="shared" si="1"/>
        <v>81330</v>
      </c>
    </row>
    <row r="39" spans="1:11" x14ac:dyDescent="0.25">
      <c r="A39" s="51" t="s">
        <v>62</v>
      </c>
      <c r="B39" s="52"/>
      <c r="C39" s="52"/>
      <c r="D39" s="52"/>
      <c r="E39" s="52"/>
      <c r="F39" s="52"/>
      <c r="G39" s="52"/>
      <c r="H39" s="52"/>
      <c r="I39" s="52"/>
      <c r="J39" s="52"/>
      <c r="K39" s="53"/>
    </row>
    <row r="40" spans="1:11" x14ac:dyDescent="0.25">
      <c r="A40" s="6" t="s">
        <v>63</v>
      </c>
      <c r="B40" s="5"/>
      <c r="C40" s="5"/>
      <c r="D40" s="5"/>
      <c r="E40" s="39"/>
      <c r="F40" s="5"/>
      <c r="H40" s="5"/>
      <c r="I40" s="39"/>
      <c r="J40" s="39"/>
      <c r="K40" s="4"/>
    </row>
    <row r="41" spans="1:11" x14ac:dyDescent="0.25">
      <c r="A41" s="6" t="s">
        <v>64</v>
      </c>
      <c r="B41" s="5"/>
      <c r="C41" s="5"/>
      <c r="D41" s="5"/>
      <c r="E41" s="5"/>
      <c r="F41" s="5"/>
      <c r="G41" s="5"/>
      <c r="H41" s="5"/>
      <c r="I41" s="39"/>
      <c r="J41" s="39"/>
      <c r="K41" s="4"/>
    </row>
    <row r="42" spans="1:11" x14ac:dyDescent="0.25">
      <c r="A42" s="6" t="s">
        <v>65</v>
      </c>
    </row>
    <row r="43" spans="1:11" x14ac:dyDescent="0.25">
      <c r="A43" s="6" t="s">
        <v>66</v>
      </c>
      <c r="D43" s="40"/>
    </row>
    <row r="44" spans="1:11" x14ac:dyDescent="0.25">
      <c r="A44" s="6" t="s">
        <v>67</v>
      </c>
    </row>
    <row r="45" spans="1:11" x14ac:dyDescent="0.25">
      <c r="A45" s="6" t="s">
        <v>68</v>
      </c>
    </row>
    <row r="46" spans="1:11" x14ac:dyDescent="0.25">
      <c r="A46" s="6" t="s">
        <v>69</v>
      </c>
    </row>
    <row r="47" spans="1:11" x14ac:dyDescent="0.25">
      <c r="A47" s="6" t="s">
        <v>70</v>
      </c>
    </row>
    <row r="48" spans="1:11" x14ac:dyDescent="0.25">
      <c r="A48" s="6" t="s">
        <v>71</v>
      </c>
    </row>
    <row r="49" spans="1:11" x14ac:dyDescent="0.25">
      <c r="A49" s="6" t="s">
        <v>72</v>
      </c>
    </row>
    <row r="50" spans="1:11" x14ac:dyDescent="0.25">
      <c r="A50" s="6" t="s">
        <v>73</v>
      </c>
    </row>
    <row r="51" spans="1:11" x14ac:dyDescent="0.25">
      <c r="A51" s="6" t="s">
        <v>74</v>
      </c>
    </row>
    <row r="52" spans="1:11" x14ac:dyDescent="0.25">
      <c r="A52" s="6" t="s">
        <v>75</v>
      </c>
    </row>
    <row r="53" spans="1:11" x14ac:dyDescent="0.25">
      <c r="A53" s="6" t="s">
        <v>76</v>
      </c>
    </row>
    <row r="54" spans="1:11" x14ac:dyDescent="0.25">
      <c r="A54" s="43" t="s">
        <v>77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spans="1:11" x14ac:dyDescent="0.25">
      <c r="A55" s="36"/>
    </row>
    <row r="56" spans="1:11" ht="18" customHeight="1" x14ac:dyDescent="0.25">
      <c r="A56" s="123" t="s">
        <v>410</v>
      </c>
    </row>
  </sheetData>
  <mergeCells count="9">
    <mergeCell ref="A8:A9"/>
    <mergeCell ref="B8:F8"/>
    <mergeCell ref="G8:K8"/>
    <mergeCell ref="I1:M1"/>
    <mergeCell ref="I2:M2"/>
    <mergeCell ref="I3:M3"/>
    <mergeCell ref="B4:K4"/>
    <mergeCell ref="B5:D5"/>
    <mergeCell ref="B6:D6"/>
  </mergeCells>
  <pageMargins left="0.75" right="0.75" top="1" bottom="1" header="0.5" footer="0.5"/>
  <pageSetup orientation="portrait" horizontalDpi="30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51"/>
  <sheetViews>
    <sheetView topLeftCell="A3" zoomScale="269" zoomScaleNormal="220" workbookViewId="0">
      <pane xSplit="1" ySplit="3" topLeftCell="B6" activePane="bottomRight" state="frozen"/>
      <selection activeCell="B4" sqref="B4:K4"/>
      <selection pane="topRight" activeCell="B4" sqref="B4:K4"/>
      <selection pane="bottomLeft" activeCell="B4" sqref="B4:K4"/>
      <selection pane="bottomRight" activeCell="Q3" sqref="Q1:R1048576"/>
    </sheetView>
  </sheetViews>
  <sheetFormatPr defaultRowHeight="12.5" x14ac:dyDescent="0.25"/>
  <cols>
    <col min="2" max="2" width="9" customWidth="1"/>
    <col min="3" max="3" width="8.81640625" customWidth="1"/>
    <col min="4" max="7" width="7.81640625" customWidth="1"/>
    <col min="8" max="8" width="8.81640625" customWidth="1"/>
    <col min="9" max="9" width="7.81640625" customWidth="1"/>
    <col min="10" max="10" width="7.54296875" customWidth="1"/>
    <col min="11" max="14" width="7.81640625" customWidth="1"/>
    <col min="15" max="15" width="8.1796875" customWidth="1"/>
    <col min="17" max="18" width="17.1796875" customWidth="1"/>
  </cols>
  <sheetData>
    <row r="1" spans="1:18" ht="20.5" x14ac:dyDescent="0.85">
      <c r="A1" s="55" t="s">
        <v>89</v>
      </c>
    </row>
    <row r="2" spans="1:18" ht="6" customHeight="1" x14ac:dyDescent="0.25">
      <c r="A2" s="3"/>
    </row>
    <row r="3" spans="1:18" s="55" customFormat="1" ht="17.25" customHeight="1" x14ac:dyDescent="0.85">
      <c r="A3" s="238" t="s">
        <v>78</v>
      </c>
      <c r="B3" s="240" t="s">
        <v>85</v>
      </c>
      <c r="C3" s="240"/>
      <c r="D3" s="240"/>
      <c r="E3" s="240"/>
      <c r="F3" s="240"/>
      <c r="G3" s="240"/>
      <c r="H3" s="240"/>
      <c r="I3" s="240" t="s">
        <v>86</v>
      </c>
      <c r="J3" s="240"/>
      <c r="K3" s="240"/>
      <c r="L3" s="240"/>
      <c r="M3" s="240"/>
      <c r="N3" s="240"/>
      <c r="O3" s="240"/>
    </row>
    <row r="4" spans="1:18" s="55" customFormat="1" ht="51" x14ac:dyDescent="0.85">
      <c r="A4" s="239"/>
      <c r="B4" s="178" t="s">
        <v>446</v>
      </c>
      <c r="C4" s="129" t="s">
        <v>80</v>
      </c>
      <c r="D4" s="130" t="s">
        <v>84</v>
      </c>
      <c r="E4" s="131" t="s">
        <v>82</v>
      </c>
      <c r="F4" s="130" t="s">
        <v>415</v>
      </c>
      <c r="G4" s="130" t="s">
        <v>416</v>
      </c>
      <c r="H4" s="169" t="s">
        <v>83</v>
      </c>
      <c r="I4" s="179" t="s">
        <v>446</v>
      </c>
      <c r="J4" s="129" t="s">
        <v>80</v>
      </c>
      <c r="K4" s="130" t="s">
        <v>84</v>
      </c>
      <c r="L4" s="131" t="s">
        <v>82</v>
      </c>
      <c r="M4" s="130" t="s">
        <v>415</v>
      </c>
      <c r="N4" s="130" t="s">
        <v>416</v>
      </c>
      <c r="O4" s="169" t="s">
        <v>83</v>
      </c>
      <c r="Q4" s="130" t="s">
        <v>415</v>
      </c>
      <c r="R4" s="130" t="s">
        <v>416</v>
      </c>
    </row>
    <row r="5" spans="1:18" ht="6.75" customHeight="1" x14ac:dyDescent="0.25">
      <c r="A5" s="1"/>
      <c r="B5" s="6"/>
      <c r="C5" s="6"/>
      <c r="D5" s="6"/>
      <c r="E5" s="6"/>
      <c r="F5" s="6"/>
      <c r="G5" s="6"/>
      <c r="H5" s="1"/>
      <c r="I5" s="6"/>
      <c r="J5" s="6"/>
      <c r="K5" s="6"/>
      <c r="L5" s="6"/>
      <c r="M5" s="6"/>
      <c r="N5" s="6"/>
      <c r="O5" s="1"/>
    </row>
    <row r="6" spans="1:18" x14ac:dyDescent="0.25">
      <c r="A6" s="6" t="s">
        <v>20</v>
      </c>
      <c r="B6" s="5">
        <v>8229</v>
      </c>
      <c r="C6" s="5">
        <v>947317</v>
      </c>
      <c r="D6" s="5">
        <v>4803</v>
      </c>
      <c r="E6" s="5">
        <v>281</v>
      </c>
      <c r="F6" s="5"/>
      <c r="G6" s="5"/>
      <c r="H6" s="4">
        <f>SUM(B6:E6)</f>
        <v>960630</v>
      </c>
      <c r="I6" s="5">
        <v>267</v>
      </c>
      <c r="J6" s="5">
        <v>13619</v>
      </c>
      <c r="K6" s="5">
        <v>205</v>
      </c>
      <c r="L6" s="5">
        <v>20</v>
      </c>
      <c r="M6" s="5"/>
      <c r="N6" s="5"/>
      <c r="O6" s="4">
        <f t="shared" ref="O6:O34" si="0">SUM(I6:L6)</f>
        <v>14111</v>
      </c>
    </row>
    <row r="7" spans="1:18" ht="17" x14ac:dyDescent="0.25">
      <c r="A7" s="6" t="s">
        <v>0</v>
      </c>
      <c r="B7" s="5">
        <v>15077</v>
      </c>
      <c r="C7" s="5">
        <v>1328053</v>
      </c>
      <c r="D7" s="5">
        <v>17291</v>
      </c>
      <c r="E7" s="5">
        <v>555</v>
      </c>
      <c r="F7" s="5"/>
      <c r="G7" s="5"/>
      <c r="H7" s="4">
        <f t="shared" ref="H7:H34" si="1">SUM(B7:E7)</f>
        <v>1360976</v>
      </c>
      <c r="I7" s="5">
        <v>630</v>
      </c>
      <c r="J7" s="5">
        <v>30316</v>
      </c>
      <c r="K7" s="5">
        <v>671</v>
      </c>
      <c r="L7" s="5">
        <v>28</v>
      </c>
      <c r="M7" s="5"/>
      <c r="N7" s="5"/>
      <c r="O7" s="4">
        <f t="shared" si="0"/>
        <v>31645</v>
      </c>
      <c r="Q7" s="130" t="s">
        <v>417</v>
      </c>
    </row>
    <row r="8" spans="1:18" x14ac:dyDescent="0.25">
      <c r="A8" s="6" t="s">
        <v>1</v>
      </c>
      <c r="B8" s="5">
        <v>16579</v>
      </c>
      <c r="C8" s="5">
        <v>1538839</v>
      </c>
      <c r="D8" s="5">
        <v>39515</v>
      </c>
      <c r="E8" s="5">
        <v>1517</v>
      </c>
      <c r="F8" s="5"/>
      <c r="G8" s="5"/>
      <c r="H8" s="4">
        <f t="shared" si="1"/>
        <v>1596450</v>
      </c>
      <c r="I8" s="5">
        <v>818</v>
      </c>
      <c r="J8" s="5">
        <v>31884</v>
      </c>
      <c r="K8" s="5">
        <v>1586</v>
      </c>
      <c r="L8" s="5">
        <v>65</v>
      </c>
      <c r="M8" s="5"/>
      <c r="N8" s="5"/>
      <c r="O8" s="4">
        <f t="shared" si="0"/>
        <v>34353</v>
      </c>
    </row>
    <row r="9" spans="1:18" x14ac:dyDescent="0.25">
      <c r="A9" s="6" t="s">
        <v>2</v>
      </c>
      <c r="B9" s="5">
        <v>23797</v>
      </c>
      <c r="C9" s="5">
        <v>1597081</v>
      </c>
      <c r="D9" s="5">
        <v>87005</v>
      </c>
      <c r="E9" s="5">
        <v>3493</v>
      </c>
      <c r="F9" s="5"/>
      <c r="G9" s="5"/>
      <c r="H9" s="4">
        <f t="shared" si="1"/>
        <v>1711376</v>
      </c>
      <c r="I9" s="5">
        <v>956</v>
      </c>
      <c r="J9" s="5">
        <v>34859</v>
      </c>
      <c r="K9" s="5">
        <v>3300</v>
      </c>
      <c r="L9" s="5">
        <v>158</v>
      </c>
      <c r="M9" s="5"/>
      <c r="N9" s="5"/>
      <c r="O9" s="4">
        <f t="shared" si="0"/>
        <v>39273</v>
      </c>
    </row>
    <row r="10" spans="1:18" x14ac:dyDescent="0.25">
      <c r="A10" s="6" t="s">
        <v>3</v>
      </c>
      <c r="B10" s="5">
        <v>25466</v>
      </c>
      <c r="C10" s="5">
        <v>1504839</v>
      </c>
      <c r="D10" s="5">
        <v>145726</v>
      </c>
      <c r="E10" s="5">
        <v>7639</v>
      </c>
      <c r="F10" s="5"/>
      <c r="G10" s="5"/>
      <c r="H10" s="4">
        <f t="shared" si="1"/>
        <v>1683670</v>
      </c>
      <c r="I10" s="5">
        <v>1493</v>
      </c>
      <c r="J10" s="5">
        <v>35479</v>
      </c>
      <c r="K10" s="5">
        <v>4494</v>
      </c>
      <c r="L10" s="5">
        <v>271</v>
      </c>
      <c r="M10" s="5"/>
      <c r="N10" s="5"/>
      <c r="O10" s="4">
        <f t="shared" si="0"/>
        <v>41737</v>
      </c>
    </row>
    <row r="11" spans="1:18" x14ac:dyDescent="0.25">
      <c r="A11" s="6" t="s">
        <v>4</v>
      </c>
      <c r="B11" s="5">
        <v>39920</v>
      </c>
      <c r="C11" s="5">
        <v>1367089</v>
      </c>
      <c r="D11" s="5">
        <v>234927</v>
      </c>
      <c r="E11" s="5">
        <v>10888</v>
      </c>
      <c r="F11" s="5"/>
      <c r="G11" s="5"/>
      <c r="H11" s="4">
        <f t="shared" si="1"/>
        <v>1652824</v>
      </c>
      <c r="I11" s="5">
        <v>1835</v>
      </c>
      <c r="J11" s="5">
        <v>35578</v>
      </c>
      <c r="K11" s="5">
        <v>6116</v>
      </c>
      <c r="L11" s="5">
        <v>468</v>
      </c>
      <c r="M11" s="5"/>
      <c r="N11" s="5"/>
      <c r="O11" s="4">
        <f t="shared" si="0"/>
        <v>43997</v>
      </c>
    </row>
    <row r="12" spans="1:18" x14ac:dyDescent="0.25">
      <c r="A12" s="6" t="s">
        <v>5</v>
      </c>
      <c r="B12" s="5">
        <v>56165</v>
      </c>
      <c r="C12" s="5">
        <v>1315531</v>
      </c>
      <c r="D12" s="5">
        <v>297775</v>
      </c>
      <c r="E12" s="5">
        <v>14020</v>
      </c>
      <c r="F12" s="5"/>
      <c r="G12" s="5"/>
      <c r="H12" s="4">
        <f t="shared" si="1"/>
        <v>1683491</v>
      </c>
      <c r="I12" s="5">
        <v>2398</v>
      </c>
      <c r="J12" s="5">
        <v>35080</v>
      </c>
      <c r="K12" s="5">
        <v>7416</v>
      </c>
      <c r="L12" s="5">
        <v>617</v>
      </c>
      <c r="M12" s="5"/>
      <c r="N12" s="5"/>
      <c r="O12" s="4">
        <f t="shared" si="0"/>
        <v>45511</v>
      </c>
    </row>
    <row r="13" spans="1:18" x14ac:dyDescent="0.25">
      <c r="A13" s="6" t="s">
        <v>6</v>
      </c>
      <c r="B13" s="5">
        <v>55760</v>
      </c>
      <c r="C13" s="5">
        <v>1294227</v>
      </c>
      <c r="D13" s="5">
        <v>327049</v>
      </c>
      <c r="E13" s="5">
        <v>18799</v>
      </c>
      <c r="F13" s="5"/>
      <c r="G13" s="5"/>
      <c r="H13" s="4">
        <f t="shared" si="1"/>
        <v>1695835</v>
      </c>
      <c r="I13" s="5">
        <v>2625</v>
      </c>
      <c r="J13" s="5">
        <v>36754</v>
      </c>
      <c r="K13" s="5">
        <v>8967</v>
      </c>
      <c r="L13" s="5">
        <v>858</v>
      </c>
      <c r="M13" s="5"/>
      <c r="N13" s="5"/>
      <c r="O13" s="4">
        <f t="shared" si="0"/>
        <v>49204</v>
      </c>
    </row>
    <row r="14" spans="1:18" x14ac:dyDescent="0.25">
      <c r="A14" s="6" t="s">
        <v>7</v>
      </c>
      <c r="B14" s="5">
        <v>59679</v>
      </c>
      <c r="C14" s="5">
        <v>1279053</v>
      </c>
      <c r="D14" s="5">
        <v>326403</v>
      </c>
      <c r="E14" s="5">
        <v>26176</v>
      </c>
      <c r="F14" s="5"/>
      <c r="G14" s="5"/>
      <c r="H14" s="4">
        <f t="shared" si="1"/>
        <v>1691311</v>
      </c>
      <c r="I14" s="5">
        <v>3017</v>
      </c>
      <c r="J14" s="5">
        <v>37292</v>
      </c>
      <c r="K14" s="5">
        <v>10866</v>
      </c>
      <c r="L14" s="5">
        <v>1064</v>
      </c>
      <c r="M14" s="5"/>
      <c r="N14" s="5"/>
      <c r="O14" s="4">
        <f t="shared" si="0"/>
        <v>52239</v>
      </c>
    </row>
    <row r="15" spans="1:18" x14ac:dyDescent="0.25">
      <c r="A15" s="6" t="s">
        <v>8</v>
      </c>
      <c r="B15" s="5">
        <v>61349</v>
      </c>
      <c r="C15" s="5">
        <v>1313689</v>
      </c>
      <c r="D15" s="5">
        <v>289064</v>
      </c>
      <c r="E15" s="5">
        <v>35125</v>
      </c>
      <c r="F15" s="5"/>
      <c r="G15" s="5"/>
      <c r="H15" s="4">
        <f t="shared" si="1"/>
        <v>1699227</v>
      </c>
      <c r="I15" s="5">
        <v>3209</v>
      </c>
      <c r="J15" s="5">
        <v>36930</v>
      </c>
      <c r="K15" s="5">
        <v>11702</v>
      </c>
      <c r="L15" s="5">
        <v>1403</v>
      </c>
      <c r="M15" s="5"/>
      <c r="N15" s="5"/>
      <c r="O15" s="4">
        <f t="shared" si="0"/>
        <v>53244</v>
      </c>
    </row>
    <row r="16" spans="1:18" x14ac:dyDescent="0.25">
      <c r="A16" s="6" t="s">
        <v>9</v>
      </c>
      <c r="B16" s="5">
        <v>56017</v>
      </c>
      <c r="C16" s="5">
        <v>1276957</v>
      </c>
      <c r="D16" s="5">
        <v>244842</v>
      </c>
      <c r="E16" s="5">
        <v>43561</v>
      </c>
      <c r="F16" s="5"/>
      <c r="G16" s="5"/>
      <c r="H16" s="4">
        <f t="shared" si="1"/>
        <v>1621377</v>
      </c>
      <c r="I16" s="5">
        <v>3383</v>
      </c>
      <c r="J16" s="5">
        <v>41261</v>
      </c>
      <c r="K16" s="5">
        <v>12702</v>
      </c>
      <c r="L16" s="5">
        <v>1766</v>
      </c>
      <c r="M16" s="5"/>
      <c r="N16" s="5"/>
      <c r="O16" s="4">
        <f t="shared" si="0"/>
        <v>59112</v>
      </c>
    </row>
    <row r="17" spans="1:15" x14ac:dyDescent="0.25">
      <c r="A17" s="6" t="s">
        <v>10</v>
      </c>
      <c r="B17" s="5">
        <v>51421</v>
      </c>
      <c r="C17" s="5">
        <v>1322143</v>
      </c>
      <c r="D17" s="5">
        <v>201496</v>
      </c>
      <c r="E17" s="5">
        <v>47562</v>
      </c>
      <c r="F17" s="5"/>
      <c r="G17" s="5"/>
      <c r="H17" s="4">
        <f t="shared" si="1"/>
        <v>1622622</v>
      </c>
      <c r="I17" s="5">
        <v>2959</v>
      </c>
      <c r="J17" s="5">
        <v>40014</v>
      </c>
      <c r="K17" s="5">
        <v>14351</v>
      </c>
      <c r="L17" s="5">
        <v>2057</v>
      </c>
      <c r="M17" s="5"/>
      <c r="N17" s="5"/>
      <c r="O17" s="4">
        <f t="shared" si="0"/>
        <v>59381</v>
      </c>
    </row>
    <row r="18" spans="1:15" x14ac:dyDescent="0.25">
      <c r="A18" s="6" t="s">
        <v>11</v>
      </c>
      <c r="B18" s="5">
        <v>48207</v>
      </c>
      <c r="C18" s="5">
        <v>1371694</v>
      </c>
      <c r="D18" s="5">
        <v>183025</v>
      </c>
      <c r="E18" s="5">
        <v>53857</v>
      </c>
      <c r="F18" s="5"/>
      <c r="G18" s="5"/>
      <c r="H18" s="4">
        <f t="shared" si="1"/>
        <v>1656783</v>
      </c>
      <c r="I18" s="5">
        <v>2736</v>
      </c>
      <c r="J18" s="5">
        <v>40631</v>
      </c>
      <c r="K18" s="5">
        <v>14668</v>
      </c>
      <c r="L18" s="5">
        <v>3149</v>
      </c>
      <c r="M18" s="5"/>
      <c r="N18" s="5"/>
      <c r="O18" s="4">
        <f t="shared" si="0"/>
        <v>61184</v>
      </c>
    </row>
    <row r="19" spans="1:15" x14ac:dyDescent="0.25">
      <c r="A19" s="6" t="s">
        <v>12</v>
      </c>
      <c r="B19" s="5">
        <v>50976</v>
      </c>
      <c r="C19" s="5">
        <v>1468958</v>
      </c>
      <c r="D19" s="5">
        <v>183793</v>
      </c>
      <c r="E19" s="5">
        <v>55570</v>
      </c>
      <c r="F19" s="5"/>
      <c r="G19" s="5"/>
      <c r="H19" s="4">
        <f t="shared" si="1"/>
        <v>1759297</v>
      </c>
      <c r="I19" s="5">
        <v>2920</v>
      </c>
      <c r="J19" s="5">
        <v>42405</v>
      </c>
      <c r="K19" s="5">
        <v>13107</v>
      </c>
      <c r="L19" s="5">
        <v>6439</v>
      </c>
      <c r="M19" s="5"/>
      <c r="N19" s="5"/>
      <c r="O19" s="4">
        <f t="shared" si="0"/>
        <v>64871</v>
      </c>
    </row>
    <row r="20" spans="1:15" x14ac:dyDescent="0.25">
      <c r="A20" s="6" t="s">
        <v>13</v>
      </c>
      <c r="B20" s="5">
        <v>53080</v>
      </c>
      <c r="C20" s="5">
        <v>1621685</v>
      </c>
      <c r="D20" s="5">
        <v>224273</v>
      </c>
      <c r="E20" s="5">
        <v>61506</v>
      </c>
      <c r="F20" s="5"/>
      <c r="G20" s="5"/>
      <c r="H20" s="4">
        <f t="shared" si="1"/>
        <v>1960544</v>
      </c>
      <c r="I20" s="5">
        <v>2682</v>
      </c>
      <c r="J20" s="5">
        <v>44454</v>
      </c>
      <c r="K20" s="5">
        <v>13621</v>
      </c>
      <c r="L20" s="5">
        <v>7645</v>
      </c>
      <c r="M20" s="5"/>
      <c r="N20" s="5"/>
      <c r="O20" s="4">
        <f t="shared" si="0"/>
        <v>68402</v>
      </c>
    </row>
    <row r="21" spans="1:15" x14ac:dyDescent="0.25">
      <c r="A21" s="6" t="s">
        <v>14</v>
      </c>
      <c r="B21" s="5">
        <v>49591</v>
      </c>
      <c r="C21" s="5">
        <v>1703316</v>
      </c>
      <c r="D21" s="5">
        <v>246198</v>
      </c>
      <c r="E21" s="5">
        <v>51357</v>
      </c>
      <c r="F21" s="5"/>
      <c r="G21" s="5"/>
      <c r="H21" s="4">
        <f t="shared" si="1"/>
        <v>2050462</v>
      </c>
      <c r="I21" s="5">
        <v>2628</v>
      </c>
      <c r="J21" s="5">
        <v>44985</v>
      </c>
      <c r="K21" s="5">
        <v>12179</v>
      </c>
      <c r="L21" s="5">
        <v>8784</v>
      </c>
      <c r="M21" s="5"/>
      <c r="N21" s="5"/>
      <c r="O21" s="4">
        <f t="shared" si="0"/>
        <v>68576</v>
      </c>
    </row>
    <row r="22" spans="1:15" x14ac:dyDescent="0.25">
      <c r="A22" s="6" t="s">
        <v>15</v>
      </c>
      <c r="B22" s="5">
        <v>48721</v>
      </c>
      <c r="C22" s="5">
        <v>1805631</v>
      </c>
      <c r="D22" s="5">
        <v>235155</v>
      </c>
      <c r="E22" s="5">
        <v>52920</v>
      </c>
      <c r="F22" s="5"/>
      <c r="G22" s="5"/>
      <c r="H22" s="4">
        <f t="shared" si="1"/>
        <v>2142427</v>
      </c>
      <c r="I22" s="5">
        <v>2519</v>
      </c>
      <c r="J22" s="5">
        <v>45753</v>
      </c>
      <c r="K22" s="5">
        <v>11315</v>
      </c>
      <c r="L22" s="5">
        <v>8806</v>
      </c>
      <c r="M22" s="5"/>
      <c r="N22" s="5"/>
      <c r="O22" s="4">
        <f t="shared" si="0"/>
        <v>68393</v>
      </c>
    </row>
    <row r="23" spans="1:15" x14ac:dyDescent="0.25">
      <c r="A23" s="6" t="s">
        <v>16</v>
      </c>
      <c r="B23" s="5">
        <v>44814</v>
      </c>
      <c r="C23" s="5">
        <v>1918985</v>
      </c>
      <c r="D23" s="5">
        <v>265895</v>
      </c>
      <c r="E23" s="5">
        <v>61671</v>
      </c>
      <c r="F23" s="5"/>
      <c r="G23" s="5"/>
      <c r="H23" s="4">
        <f t="shared" si="1"/>
        <v>2291365</v>
      </c>
      <c r="I23" s="5">
        <v>2071</v>
      </c>
      <c r="J23" s="5">
        <v>47147</v>
      </c>
      <c r="K23" s="5">
        <v>17459</v>
      </c>
      <c r="L23" s="5">
        <v>3246</v>
      </c>
      <c r="M23" s="5"/>
      <c r="N23" s="5"/>
      <c r="O23" s="4">
        <f t="shared" si="0"/>
        <v>69923</v>
      </c>
    </row>
    <row r="24" spans="1:15" x14ac:dyDescent="0.25">
      <c r="A24" s="6" t="s">
        <v>17</v>
      </c>
      <c r="B24" s="5">
        <v>43358</v>
      </c>
      <c r="C24" s="5">
        <v>2011772</v>
      </c>
      <c r="D24" s="5">
        <v>229102</v>
      </c>
      <c r="E24" s="5">
        <v>73849</v>
      </c>
      <c r="F24" s="5"/>
      <c r="G24" s="5"/>
      <c r="H24" s="4">
        <f t="shared" si="1"/>
        <v>2358081</v>
      </c>
      <c r="I24" s="5">
        <v>1971</v>
      </c>
      <c r="J24" s="5">
        <v>48460</v>
      </c>
      <c r="K24" s="5">
        <v>17399</v>
      </c>
      <c r="L24" s="5">
        <v>3825</v>
      </c>
      <c r="M24" s="5"/>
      <c r="N24" s="5"/>
      <c r="O24" s="4">
        <f t="shared" si="0"/>
        <v>71655</v>
      </c>
    </row>
    <row r="25" spans="1:15" x14ac:dyDescent="0.25">
      <c r="A25" s="6" t="s">
        <v>18</v>
      </c>
      <c r="B25" s="5">
        <v>45068</v>
      </c>
      <c r="C25" s="5">
        <v>2094000</v>
      </c>
      <c r="D25" s="5">
        <v>226057</v>
      </c>
      <c r="E25" s="5">
        <v>82110</v>
      </c>
      <c r="F25" s="5"/>
      <c r="G25" s="5"/>
      <c r="H25" s="4">
        <f t="shared" si="1"/>
        <v>2447235</v>
      </c>
      <c r="I25" s="5">
        <v>1983</v>
      </c>
      <c r="J25" s="5">
        <v>49400</v>
      </c>
      <c r="K25" s="5">
        <v>17582</v>
      </c>
      <c r="L25" s="5">
        <v>4561</v>
      </c>
      <c r="M25" s="5"/>
      <c r="N25" s="5"/>
      <c r="O25" s="4">
        <f t="shared" si="0"/>
        <v>73526</v>
      </c>
    </row>
    <row r="26" spans="1:15" x14ac:dyDescent="0.25">
      <c r="A26" s="6" t="s">
        <v>19</v>
      </c>
      <c r="B26" s="5">
        <v>50597</v>
      </c>
      <c r="C26" s="5">
        <v>2211738</v>
      </c>
      <c r="D26" s="5">
        <v>233278</v>
      </c>
      <c r="E26" s="5">
        <v>108213</v>
      </c>
      <c r="F26" s="5"/>
      <c r="G26" s="5"/>
      <c r="H26" s="4">
        <f t="shared" si="1"/>
        <v>2603826</v>
      </c>
      <c r="I26" s="5">
        <v>2125</v>
      </c>
      <c r="J26" s="5">
        <v>50188</v>
      </c>
      <c r="K26" s="5">
        <v>18033</v>
      </c>
      <c r="L26" s="5">
        <v>5083</v>
      </c>
      <c r="M26" s="5"/>
      <c r="N26" s="5"/>
      <c r="O26" s="4">
        <f t="shared" si="0"/>
        <v>75429</v>
      </c>
    </row>
    <row r="27" spans="1:15" x14ac:dyDescent="0.25">
      <c r="A27" s="6" t="s">
        <v>22</v>
      </c>
      <c r="B27" s="5">
        <v>55798</v>
      </c>
      <c r="C27" s="5">
        <v>2408109</v>
      </c>
      <c r="D27" s="5">
        <v>283578</v>
      </c>
      <c r="E27" s="5">
        <v>105086</v>
      </c>
      <c r="F27" s="5"/>
      <c r="G27" s="5"/>
      <c r="H27" s="4">
        <f t="shared" si="1"/>
        <v>2852571</v>
      </c>
      <c r="I27" s="5">
        <v>2181</v>
      </c>
      <c r="J27" s="5">
        <v>52168</v>
      </c>
      <c r="K27" s="5">
        <v>18952</v>
      </c>
      <c r="L27" s="5">
        <v>5000</v>
      </c>
      <c r="M27" s="5"/>
      <c r="N27" s="5"/>
      <c r="O27" s="4">
        <f t="shared" si="0"/>
        <v>78301</v>
      </c>
    </row>
    <row r="28" spans="1:15" x14ac:dyDescent="0.25">
      <c r="A28" s="6" t="s">
        <v>23</v>
      </c>
      <c r="B28" s="5">
        <v>63747</v>
      </c>
      <c r="C28" s="5">
        <v>2705453</v>
      </c>
      <c r="D28" s="5">
        <v>351635</v>
      </c>
      <c r="E28" s="5">
        <v>113404</v>
      </c>
      <c r="F28" s="5"/>
      <c r="G28" s="5"/>
      <c r="H28" s="4">
        <f t="shared" si="1"/>
        <v>3234239</v>
      </c>
      <c r="I28" s="5">
        <v>2346</v>
      </c>
      <c r="J28" s="5">
        <v>54519</v>
      </c>
      <c r="K28" s="5">
        <v>19650</v>
      </c>
      <c r="L28" s="5">
        <v>5234</v>
      </c>
      <c r="M28" s="5"/>
      <c r="N28" s="5"/>
      <c r="O28" s="4">
        <f t="shared" si="0"/>
        <v>81749</v>
      </c>
    </row>
    <row r="29" spans="1:15" x14ac:dyDescent="0.25">
      <c r="A29" s="6" t="s">
        <v>29</v>
      </c>
      <c r="B29" s="5">
        <v>64727</v>
      </c>
      <c r="C29" s="5">
        <v>2747411</v>
      </c>
      <c r="D29" s="5">
        <v>415703</v>
      </c>
      <c r="E29" s="5">
        <v>128182</v>
      </c>
      <c r="F29" s="5"/>
      <c r="G29" s="5"/>
      <c r="H29" s="4">
        <f t="shared" si="1"/>
        <v>3356023</v>
      </c>
      <c r="I29" s="5">
        <v>2538</v>
      </c>
      <c r="J29" s="5">
        <v>57077</v>
      </c>
      <c r="K29" s="5">
        <v>19841</v>
      </c>
      <c r="L29" s="5">
        <v>6070</v>
      </c>
      <c r="M29" s="5"/>
      <c r="N29" s="5"/>
      <c r="O29" s="4">
        <f t="shared" si="0"/>
        <v>85526</v>
      </c>
    </row>
    <row r="30" spans="1:15" x14ac:dyDescent="0.25">
      <c r="A30" s="6" t="s">
        <v>30</v>
      </c>
      <c r="B30" s="5">
        <v>72224</v>
      </c>
      <c r="C30" s="5">
        <v>2747080</v>
      </c>
      <c r="D30" s="5">
        <v>459986</v>
      </c>
      <c r="E30" s="5">
        <v>153758</v>
      </c>
      <c r="F30" s="5"/>
      <c r="G30" s="5"/>
      <c r="H30" s="4">
        <f t="shared" si="1"/>
        <v>3433048</v>
      </c>
      <c r="I30" s="5">
        <v>2697</v>
      </c>
      <c r="J30" s="5">
        <v>59271</v>
      </c>
      <c r="K30" s="5">
        <v>21307</v>
      </c>
      <c r="L30" s="5">
        <v>6341</v>
      </c>
      <c r="M30" s="5"/>
      <c r="N30" s="5"/>
      <c r="O30" s="4">
        <f t="shared" si="0"/>
        <v>89616</v>
      </c>
    </row>
    <row r="31" spans="1:15" x14ac:dyDescent="0.25">
      <c r="A31" s="6" t="s">
        <v>35</v>
      </c>
      <c r="B31" s="5">
        <v>72214</v>
      </c>
      <c r="C31" s="5">
        <v>2682129</v>
      </c>
      <c r="D31" s="5">
        <v>528940</v>
      </c>
      <c r="E31" s="5">
        <v>177129</v>
      </c>
      <c r="F31" s="5"/>
      <c r="G31" s="5"/>
      <c r="H31" s="4">
        <f t="shared" si="1"/>
        <v>3460412</v>
      </c>
      <c r="I31" s="5">
        <v>2833</v>
      </c>
      <c r="J31" s="5">
        <v>60841</v>
      </c>
      <c r="K31" s="5">
        <v>21985</v>
      </c>
      <c r="L31" s="5">
        <v>6829</v>
      </c>
      <c r="M31" s="5"/>
      <c r="N31" s="5"/>
      <c r="O31" s="4">
        <f t="shared" si="0"/>
        <v>92488</v>
      </c>
    </row>
    <row r="32" spans="1:15" x14ac:dyDescent="0.25">
      <c r="A32" s="6" t="s">
        <v>36</v>
      </c>
      <c r="B32" s="5">
        <v>75669</v>
      </c>
      <c r="C32" s="5">
        <v>2558467</v>
      </c>
      <c r="D32" s="5">
        <v>588333</v>
      </c>
      <c r="E32" s="5">
        <v>204925</v>
      </c>
      <c r="F32" s="5"/>
      <c r="G32" s="5"/>
      <c r="H32" s="4">
        <f t="shared" si="1"/>
        <v>3427394</v>
      </c>
      <c r="I32" s="5">
        <v>2882</v>
      </c>
      <c r="J32" s="5">
        <v>61657</v>
      </c>
      <c r="K32" s="5">
        <v>21729</v>
      </c>
      <c r="L32" s="5">
        <v>7981</v>
      </c>
      <c r="M32" s="5"/>
      <c r="N32" s="5"/>
      <c r="O32" s="4">
        <f t="shared" si="0"/>
        <v>94249</v>
      </c>
    </row>
    <row r="33" spans="1:15" x14ac:dyDescent="0.25">
      <c r="A33" s="6" t="s">
        <v>50</v>
      </c>
      <c r="B33" s="5">
        <v>77899</v>
      </c>
      <c r="C33" s="5">
        <v>2461135</v>
      </c>
      <c r="D33" s="5">
        <v>626005</v>
      </c>
      <c r="E33" s="5">
        <v>222271</v>
      </c>
      <c r="F33" s="5"/>
      <c r="G33" s="5"/>
      <c r="H33" s="4">
        <f t="shared" si="1"/>
        <v>3387310</v>
      </c>
      <c r="I33" s="5">
        <v>2978</v>
      </c>
      <c r="J33" s="5">
        <v>59889</v>
      </c>
      <c r="K33" s="5">
        <v>24052</v>
      </c>
      <c r="L33" s="5">
        <v>7722</v>
      </c>
      <c r="M33" s="5"/>
      <c r="N33" s="5"/>
      <c r="O33" s="4">
        <f t="shared" si="0"/>
        <v>94641</v>
      </c>
    </row>
    <row r="34" spans="1:15" x14ac:dyDescent="0.25">
      <c r="A34" s="6" t="s">
        <v>51</v>
      </c>
      <c r="B34" s="5">
        <v>79585</v>
      </c>
      <c r="C34" s="5">
        <v>2311107</v>
      </c>
      <c r="D34" s="5">
        <v>637629</v>
      </c>
      <c r="E34" s="5">
        <v>260965</v>
      </c>
      <c r="F34" s="5"/>
      <c r="G34" s="5"/>
      <c r="H34" s="4">
        <f t="shared" si="1"/>
        <v>3289286</v>
      </c>
      <c r="I34" s="5">
        <v>3130</v>
      </c>
      <c r="J34" s="5">
        <v>58776</v>
      </c>
      <c r="K34" s="5">
        <v>27240</v>
      </c>
      <c r="L34" s="5">
        <v>7857</v>
      </c>
      <c r="M34" s="5"/>
      <c r="N34" s="5"/>
      <c r="O34" s="4">
        <f t="shared" si="0"/>
        <v>97003</v>
      </c>
    </row>
    <row r="35" spans="1:15" x14ac:dyDescent="0.25">
      <c r="A35" s="51" t="s">
        <v>62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spans="1:15" x14ac:dyDescent="0.25">
      <c r="A36" s="6" t="s">
        <v>63</v>
      </c>
    </row>
    <row r="37" spans="1:15" x14ac:dyDescent="0.25">
      <c r="A37" s="6" t="s">
        <v>64</v>
      </c>
      <c r="B37" s="5"/>
      <c r="C37" s="5"/>
      <c r="J37" s="5"/>
    </row>
    <row r="38" spans="1:15" x14ac:dyDescent="0.25">
      <c r="A38" s="6" t="s">
        <v>65</v>
      </c>
      <c r="B38" s="5"/>
      <c r="C38" s="5"/>
      <c r="E38" s="39"/>
      <c r="F38" s="39"/>
      <c r="G38" s="39"/>
      <c r="H38" s="41"/>
      <c r="J38" s="5"/>
      <c r="O38" s="39"/>
    </row>
    <row r="39" spans="1:15" x14ac:dyDescent="0.25">
      <c r="A39" s="6" t="s">
        <v>66</v>
      </c>
      <c r="C39" s="5"/>
      <c r="D39" s="5"/>
      <c r="E39" s="5"/>
      <c r="F39" s="5"/>
      <c r="G39" s="5"/>
      <c r="H39" s="41"/>
    </row>
    <row r="40" spans="1:15" x14ac:dyDescent="0.25">
      <c r="A40" s="6" t="s">
        <v>67</v>
      </c>
      <c r="C40" s="5"/>
    </row>
    <row r="41" spans="1:15" x14ac:dyDescent="0.25">
      <c r="A41" s="6" t="s">
        <v>68</v>
      </c>
      <c r="E41" s="39"/>
      <c r="F41" s="39"/>
      <c r="G41" s="39"/>
      <c r="H41" s="39"/>
    </row>
    <row r="42" spans="1:15" x14ac:dyDescent="0.25">
      <c r="A42" s="6" t="s">
        <v>69</v>
      </c>
      <c r="L42" s="41"/>
      <c r="M42" s="41"/>
      <c r="N42" s="41"/>
    </row>
    <row r="43" spans="1:15" x14ac:dyDescent="0.25">
      <c r="A43" s="6" t="s">
        <v>70</v>
      </c>
    </row>
    <row r="44" spans="1:15" x14ac:dyDescent="0.25">
      <c r="A44" s="6" t="s">
        <v>71</v>
      </c>
    </row>
    <row r="45" spans="1:15" x14ac:dyDescent="0.25">
      <c r="A45" s="6" t="s">
        <v>72</v>
      </c>
      <c r="D45" s="11"/>
      <c r="E45" s="11"/>
      <c r="F45" s="11"/>
      <c r="G45" s="11"/>
    </row>
    <row r="46" spans="1:15" x14ac:dyDescent="0.25">
      <c r="A46" s="6" t="s">
        <v>73</v>
      </c>
    </row>
    <row r="47" spans="1:15" x14ac:dyDescent="0.25">
      <c r="A47" s="6" t="s">
        <v>74</v>
      </c>
    </row>
    <row r="48" spans="1:15" x14ac:dyDescent="0.25">
      <c r="A48" s="6" t="s">
        <v>75</v>
      </c>
    </row>
    <row r="49" spans="1:15" x14ac:dyDescent="0.25">
      <c r="A49" s="6" t="s">
        <v>76</v>
      </c>
      <c r="C49" s="5"/>
      <c r="D49" s="5"/>
    </row>
    <row r="50" spans="1:15" x14ac:dyDescent="0.25">
      <c r="A50" s="43" t="s">
        <v>77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20.5" x14ac:dyDescent="0.25">
      <c r="A51" s="123" t="s">
        <v>410</v>
      </c>
    </row>
  </sheetData>
  <mergeCells count="3">
    <mergeCell ref="A3:A4"/>
    <mergeCell ref="B3:H3"/>
    <mergeCell ref="I3:O3"/>
  </mergeCells>
  <pageMargins left="0.75" right="0.75" top="1" bottom="1" header="0.5" footer="0.5"/>
  <pageSetup orientation="portrait" horizontalDpi="30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1"/>
  <sheetViews>
    <sheetView topLeftCell="A3" zoomScale="160" zoomScaleNormal="160" workbookViewId="0">
      <pane xSplit="1" ySplit="3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M13" sqref="M13"/>
    </sheetView>
  </sheetViews>
  <sheetFormatPr defaultRowHeight="12.5" x14ac:dyDescent="0.25"/>
  <cols>
    <col min="2" max="2" width="7.81640625" customWidth="1"/>
    <col min="3" max="3" width="8.81640625" customWidth="1"/>
    <col min="4" max="7" width="7.81640625" customWidth="1"/>
    <col min="8" max="8" width="8.81640625" customWidth="1"/>
    <col min="9" max="9" width="7.1796875" customWidth="1"/>
    <col min="10" max="10" width="7.54296875" customWidth="1"/>
    <col min="11" max="14" width="7.81640625" customWidth="1"/>
    <col min="15" max="15" width="8.1796875" customWidth="1"/>
    <col min="17" max="18" width="17.1796875" customWidth="1"/>
  </cols>
  <sheetData>
    <row r="1" spans="1:18" ht="20.5" x14ac:dyDescent="0.85">
      <c r="A1" s="55" t="s">
        <v>89</v>
      </c>
    </row>
    <row r="2" spans="1:18" ht="6" customHeight="1" x14ac:dyDescent="0.25">
      <c r="A2" s="3"/>
    </row>
    <row r="3" spans="1:18" s="55" customFormat="1" ht="17.25" customHeight="1" x14ac:dyDescent="0.85">
      <c r="A3" s="238" t="s">
        <v>78</v>
      </c>
      <c r="B3" s="240" t="s">
        <v>85</v>
      </c>
      <c r="C3" s="240"/>
      <c r="D3" s="240"/>
      <c r="E3" s="240"/>
      <c r="F3" s="240"/>
      <c r="G3" s="240"/>
      <c r="H3" s="240"/>
      <c r="I3" s="240" t="s">
        <v>86</v>
      </c>
      <c r="J3" s="240"/>
      <c r="K3" s="240"/>
      <c r="L3" s="240"/>
      <c r="M3" s="240"/>
      <c r="N3" s="240"/>
      <c r="O3" s="240"/>
    </row>
    <row r="4" spans="1:18" s="55" customFormat="1" ht="51" x14ac:dyDescent="0.85">
      <c r="A4" s="239"/>
      <c r="B4" s="129" t="s">
        <v>79</v>
      </c>
      <c r="C4" s="129" t="s">
        <v>80</v>
      </c>
      <c r="D4" s="130" t="s">
        <v>84</v>
      </c>
      <c r="E4" s="131" t="s">
        <v>82</v>
      </c>
      <c r="F4" s="130" t="s">
        <v>415</v>
      </c>
      <c r="G4" s="130" t="s">
        <v>416</v>
      </c>
      <c r="H4" s="127" t="s">
        <v>83</v>
      </c>
      <c r="I4" s="129" t="s">
        <v>79</v>
      </c>
      <c r="J4" s="129" t="s">
        <v>80</v>
      </c>
      <c r="K4" s="130" t="s">
        <v>84</v>
      </c>
      <c r="L4" s="131" t="s">
        <v>82</v>
      </c>
      <c r="M4" s="130" t="s">
        <v>415</v>
      </c>
      <c r="N4" s="130" t="s">
        <v>416</v>
      </c>
      <c r="O4" s="127" t="s">
        <v>83</v>
      </c>
      <c r="Q4" s="130" t="s">
        <v>415</v>
      </c>
      <c r="R4" s="130" t="s">
        <v>416</v>
      </c>
    </row>
    <row r="5" spans="1:18" ht="6.75" customHeight="1" x14ac:dyDescent="0.25">
      <c r="A5" s="1"/>
      <c r="B5" s="6"/>
      <c r="C5" s="6"/>
      <c r="D5" s="6"/>
      <c r="E5" s="6"/>
      <c r="F5" s="6"/>
      <c r="G5" s="6"/>
      <c r="H5" s="1"/>
      <c r="I5" s="6"/>
      <c r="J5" s="6"/>
      <c r="K5" s="6"/>
      <c r="L5" s="6"/>
      <c r="M5" s="6"/>
      <c r="N5" s="6"/>
      <c r="O5" s="1"/>
    </row>
    <row r="6" spans="1:18" x14ac:dyDescent="0.25">
      <c r="A6" s="6" t="s">
        <v>20</v>
      </c>
      <c r="B6" s="5">
        <v>8229</v>
      </c>
      <c r="C6" s="5">
        <v>947317</v>
      </c>
      <c r="D6" s="5">
        <v>4803</v>
      </c>
      <c r="E6" s="5">
        <v>281</v>
      </c>
      <c r="F6" s="5"/>
      <c r="G6" s="5"/>
      <c r="H6" s="4">
        <f>SUM(B6:E6)</f>
        <v>960630</v>
      </c>
      <c r="I6" s="5">
        <v>267</v>
      </c>
      <c r="J6" s="5">
        <v>13619</v>
      </c>
      <c r="K6" s="5">
        <v>205</v>
      </c>
      <c r="L6" s="5">
        <v>20</v>
      </c>
      <c r="M6" s="5"/>
      <c r="N6" s="5"/>
      <c r="O6" s="4">
        <f t="shared" ref="O6:O34" si="0">SUM(I6:L6)</f>
        <v>14111</v>
      </c>
    </row>
    <row r="7" spans="1:18" ht="17" x14ac:dyDescent="0.25">
      <c r="A7" s="6" t="s">
        <v>0</v>
      </c>
      <c r="B7" s="5">
        <v>15077</v>
      </c>
      <c r="C7" s="5">
        <v>1328053</v>
      </c>
      <c r="D7" s="5">
        <v>17291</v>
      </c>
      <c r="E7" s="5">
        <v>555</v>
      </c>
      <c r="F7" s="5"/>
      <c r="G7" s="5"/>
      <c r="H7" s="4">
        <f t="shared" ref="H7:H34" si="1">SUM(B7:E7)</f>
        <v>1360976</v>
      </c>
      <c r="I7" s="5">
        <v>630</v>
      </c>
      <c r="J7" s="5">
        <v>30316</v>
      </c>
      <c r="K7" s="5">
        <v>671</v>
      </c>
      <c r="L7" s="5">
        <v>28</v>
      </c>
      <c r="M7" s="5"/>
      <c r="N7" s="5"/>
      <c r="O7" s="4">
        <f t="shared" si="0"/>
        <v>31645</v>
      </c>
      <c r="Q7" s="130" t="s">
        <v>417</v>
      </c>
    </row>
    <row r="8" spans="1:18" x14ac:dyDescent="0.25">
      <c r="A8" s="6" t="s">
        <v>1</v>
      </c>
      <c r="B8" s="5">
        <v>16579</v>
      </c>
      <c r="C8" s="5">
        <v>1538839</v>
      </c>
      <c r="D8" s="5">
        <v>39515</v>
      </c>
      <c r="E8" s="5">
        <v>1517</v>
      </c>
      <c r="F8" s="5"/>
      <c r="G8" s="5"/>
      <c r="H8" s="4">
        <f t="shared" si="1"/>
        <v>1596450</v>
      </c>
      <c r="I8" s="5">
        <v>818</v>
      </c>
      <c r="J8" s="5">
        <v>31884</v>
      </c>
      <c r="K8" s="5">
        <v>1586</v>
      </c>
      <c r="L8" s="5">
        <v>65</v>
      </c>
      <c r="M8" s="5"/>
      <c r="N8" s="5"/>
      <c r="O8" s="4">
        <f t="shared" si="0"/>
        <v>34353</v>
      </c>
    </row>
    <row r="9" spans="1:18" x14ac:dyDescent="0.25">
      <c r="A9" s="6" t="s">
        <v>2</v>
      </c>
      <c r="B9" s="5">
        <v>23797</v>
      </c>
      <c r="C9" s="5">
        <v>1597081</v>
      </c>
      <c r="D9" s="5">
        <v>87005</v>
      </c>
      <c r="E9" s="5">
        <v>3493</v>
      </c>
      <c r="F9" s="5"/>
      <c r="G9" s="5"/>
      <c r="H9" s="4">
        <f t="shared" si="1"/>
        <v>1711376</v>
      </c>
      <c r="I9" s="5">
        <v>956</v>
      </c>
      <c r="J9" s="5">
        <v>34859</v>
      </c>
      <c r="K9" s="5">
        <v>3300</v>
      </c>
      <c r="L9" s="5">
        <v>158</v>
      </c>
      <c r="M9" s="5"/>
      <c r="N9" s="5"/>
      <c r="O9" s="4">
        <f t="shared" si="0"/>
        <v>39273</v>
      </c>
    </row>
    <row r="10" spans="1:18" x14ac:dyDescent="0.25">
      <c r="A10" s="6" t="s">
        <v>3</v>
      </c>
      <c r="B10" s="5">
        <v>25466</v>
      </c>
      <c r="C10" s="5">
        <v>1504839</v>
      </c>
      <c r="D10" s="5">
        <v>145726</v>
      </c>
      <c r="E10" s="5">
        <v>7639</v>
      </c>
      <c r="F10" s="5"/>
      <c r="G10" s="5"/>
      <c r="H10" s="4">
        <f t="shared" si="1"/>
        <v>1683670</v>
      </c>
      <c r="I10" s="5">
        <v>1493</v>
      </c>
      <c r="J10" s="5">
        <v>35479</v>
      </c>
      <c r="K10" s="5">
        <v>4494</v>
      </c>
      <c r="L10" s="5">
        <v>271</v>
      </c>
      <c r="M10" s="5"/>
      <c r="N10" s="5"/>
      <c r="O10" s="4">
        <f t="shared" si="0"/>
        <v>41737</v>
      </c>
    </row>
    <row r="11" spans="1:18" x14ac:dyDescent="0.25">
      <c r="A11" s="6" t="s">
        <v>4</v>
      </c>
      <c r="B11" s="5">
        <v>39920</v>
      </c>
      <c r="C11" s="5">
        <v>1367089</v>
      </c>
      <c r="D11" s="5">
        <v>234927</v>
      </c>
      <c r="E11" s="5">
        <v>10888</v>
      </c>
      <c r="F11" s="5"/>
      <c r="G11" s="5"/>
      <c r="H11" s="4">
        <f t="shared" si="1"/>
        <v>1652824</v>
      </c>
      <c r="I11" s="5">
        <v>1835</v>
      </c>
      <c r="J11" s="5">
        <v>35578</v>
      </c>
      <c r="K11" s="5">
        <v>6116</v>
      </c>
      <c r="L11" s="5">
        <v>468</v>
      </c>
      <c r="M11" s="5"/>
      <c r="N11" s="5"/>
      <c r="O11" s="4">
        <f t="shared" si="0"/>
        <v>43997</v>
      </c>
    </row>
    <row r="12" spans="1:18" x14ac:dyDescent="0.25">
      <c r="A12" s="6" t="s">
        <v>5</v>
      </c>
      <c r="B12" s="5">
        <v>56165</v>
      </c>
      <c r="C12" s="5">
        <v>1315531</v>
      </c>
      <c r="D12" s="5">
        <v>297775</v>
      </c>
      <c r="E12" s="5">
        <v>14020</v>
      </c>
      <c r="F12" s="5"/>
      <c r="G12" s="5"/>
      <c r="H12" s="4">
        <f t="shared" si="1"/>
        <v>1683491</v>
      </c>
      <c r="I12" s="5">
        <v>2398</v>
      </c>
      <c r="J12" s="5">
        <v>35080</v>
      </c>
      <c r="K12" s="5">
        <v>7416</v>
      </c>
      <c r="L12" s="5">
        <v>617</v>
      </c>
      <c r="M12" s="5"/>
      <c r="N12" s="5"/>
      <c r="O12" s="4">
        <f t="shared" si="0"/>
        <v>45511</v>
      </c>
    </row>
    <row r="13" spans="1:18" x14ac:dyDescent="0.25">
      <c r="A13" s="6" t="s">
        <v>6</v>
      </c>
      <c r="B13" s="5">
        <v>55760</v>
      </c>
      <c r="C13" s="5">
        <v>1294227</v>
      </c>
      <c r="D13" s="5">
        <v>327049</v>
      </c>
      <c r="E13" s="5">
        <v>18799</v>
      </c>
      <c r="F13" s="5"/>
      <c r="G13" s="5"/>
      <c r="H13" s="4">
        <f t="shared" si="1"/>
        <v>1695835</v>
      </c>
      <c r="I13" s="5">
        <v>2625</v>
      </c>
      <c r="J13" s="5">
        <v>36754</v>
      </c>
      <c r="K13" s="5">
        <v>8967</v>
      </c>
      <c r="L13" s="5">
        <v>858</v>
      </c>
      <c r="M13" s="5"/>
      <c r="N13" s="5"/>
      <c r="O13" s="4">
        <f t="shared" si="0"/>
        <v>49204</v>
      </c>
    </row>
    <row r="14" spans="1:18" x14ac:dyDescent="0.25">
      <c r="A14" s="6" t="s">
        <v>7</v>
      </c>
      <c r="B14" s="5">
        <v>59679</v>
      </c>
      <c r="C14" s="5">
        <v>1279053</v>
      </c>
      <c r="D14" s="5">
        <v>326403</v>
      </c>
      <c r="E14" s="5">
        <v>26176</v>
      </c>
      <c r="F14" s="5"/>
      <c r="G14" s="5"/>
      <c r="H14" s="4">
        <f t="shared" si="1"/>
        <v>1691311</v>
      </c>
      <c r="I14" s="5">
        <v>3017</v>
      </c>
      <c r="J14" s="5">
        <v>37292</v>
      </c>
      <c r="K14" s="5">
        <v>10866</v>
      </c>
      <c r="L14" s="5">
        <v>1064</v>
      </c>
      <c r="M14" s="5"/>
      <c r="N14" s="5"/>
      <c r="O14" s="4">
        <f t="shared" si="0"/>
        <v>52239</v>
      </c>
    </row>
    <row r="15" spans="1:18" x14ac:dyDescent="0.25">
      <c r="A15" s="6" t="s">
        <v>8</v>
      </c>
      <c r="B15" s="5">
        <v>61349</v>
      </c>
      <c r="C15" s="5">
        <v>1313689</v>
      </c>
      <c r="D15" s="5">
        <v>289064</v>
      </c>
      <c r="E15" s="5">
        <v>35125</v>
      </c>
      <c r="F15" s="5"/>
      <c r="G15" s="5"/>
      <c r="H15" s="4">
        <f t="shared" si="1"/>
        <v>1699227</v>
      </c>
      <c r="I15" s="5">
        <v>3209</v>
      </c>
      <c r="J15" s="5">
        <v>36930</v>
      </c>
      <c r="K15" s="5">
        <v>11702</v>
      </c>
      <c r="L15" s="5">
        <v>1403</v>
      </c>
      <c r="M15" s="5"/>
      <c r="N15" s="5"/>
      <c r="O15" s="4">
        <f t="shared" si="0"/>
        <v>53244</v>
      </c>
    </row>
    <row r="16" spans="1:18" x14ac:dyDescent="0.25">
      <c r="A16" s="6" t="s">
        <v>9</v>
      </c>
      <c r="B16" s="5">
        <v>56017</v>
      </c>
      <c r="C16" s="5">
        <v>1276957</v>
      </c>
      <c r="D16" s="5">
        <v>244842</v>
      </c>
      <c r="E16" s="5">
        <v>43561</v>
      </c>
      <c r="F16" s="5"/>
      <c r="G16" s="5"/>
      <c r="H16" s="4">
        <f t="shared" si="1"/>
        <v>1621377</v>
      </c>
      <c r="I16" s="5">
        <v>3383</v>
      </c>
      <c r="J16" s="5">
        <v>41261</v>
      </c>
      <c r="K16" s="5">
        <v>12702</v>
      </c>
      <c r="L16" s="5">
        <v>1766</v>
      </c>
      <c r="M16" s="5"/>
      <c r="N16" s="5"/>
      <c r="O16" s="4">
        <f t="shared" si="0"/>
        <v>59112</v>
      </c>
    </row>
    <row r="17" spans="1:15" x14ac:dyDescent="0.25">
      <c r="A17" s="6" t="s">
        <v>10</v>
      </c>
      <c r="B17" s="5">
        <v>51421</v>
      </c>
      <c r="C17" s="5">
        <v>1322143</v>
      </c>
      <c r="D17" s="5">
        <v>201496</v>
      </c>
      <c r="E17" s="5">
        <v>47562</v>
      </c>
      <c r="F17" s="5"/>
      <c r="G17" s="5"/>
      <c r="H17" s="4">
        <f t="shared" si="1"/>
        <v>1622622</v>
      </c>
      <c r="I17" s="5">
        <v>2959</v>
      </c>
      <c r="J17" s="5">
        <v>40014</v>
      </c>
      <c r="K17" s="5">
        <v>14351</v>
      </c>
      <c r="L17" s="5">
        <v>2057</v>
      </c>
      <c r="M17" s="5"/>
      <c r="N17" s="5"/>
      <c r="O17" s="4">
        <f t="shared" si="0"/>
        <v>59381</v>
      </c>
    </row>
    <row r="18" spans="1:15" x14ac:dyDescent="0.25">
      <c r="A18" s="6" t="s">
        <v>11</v>
      </c>
      <c r="B18" s="5">
        <v>48207</v>
      </c>
      <c r="C18" s="5">
        <v>1371694</v>
      </c>
      <c r="D18" s="5">
        <v>183025</v>
      </c>
      <c r="E18" s="5">
        <v>53857</v>
      </c>
      <c r="F18" s="5"/>
      <c r="G18" s="5"/>
      <c r="H18" s="4">
        <f t="shared" si="1"/>
        <v>1656783</v>
      </c>
      <c r="I18" s="5">
        <v>2736</v>
      </c>
      <c r="J18" s="5">
        <v>40631</v>
      </c>
      <c r="K18" s="5">
        <v>14668</v>
      </c>
      <c r="L18" s="5">
        <v>3149</v>
      </c>
      <c r="M18" s="5"/>
      <c r="N18" s="5"/>
      <c r="O18" s="4">
        <f t="shared" si="0"/>
        <v>61184</v>
      </c>
    </row>
    <row r="19" spans="1:15" x14ac:dyDescent="0.25">
      <c r="A19" s="6" t="s">
        <v>12</v>
      </c>
      <c r="B19" s="5">
        <v>50976</v>
      </c>
      <c r="C19" s="5">
        <v>1468958</v>
      </c>
      <c r="D19" s="5">
        <v>183793</v>
      </c>
      <c r="E19" s="5">
        <v>55570</v>
      </c>
      <c r="F19" s="5"/>
      <c r="G19" s="5"/>
      <c r="H19" s="4">
        <f t="shared" si="1"/>
        <v>1759297</v>
      </c>
      <c r="I19" s="5">
        <v>2920</v>
      </c>
      <c r="J19" s="5">
        <v>42405</v>
      </c>
      <c r="K19" s="5">
        <v>13107</v>
      </c>
      <c r="L19" s="5">
        <v>6439</v>
      </c>
      <c r="M19" s="5"/>
      <c r="N19" s="5"/>
      <c r="O19" s="4">
        <f t="shared" si="0"/>
        <v>64871</v>
      </c>
    </row>
    <row r="20" spans="1:15" x14ac:dyDescent="0.25">
      <c r="A20" s="6" t="s">
        <v>13</v>
      </c>
      <c r="B20" s="5">
        <v>53080</v>
      </c>
      <c r="C20" s="5">
        <v>1621685</v>
      </c>
      <c r="D20" s="5">
        <v>224273</v>
      </c>
      <c r="E20" s="5">
        <v>61506</v>
      </c>
      <c r="F20" s="5"/>
      <c r="G20" s="5"/>
      <c r="H20" s="4">
        <f t="shared" si="1"/>
        <v>1960544</v>
      </c>
      <c r="I20" s="5">
        <v>2682</v>
      </c>
      <c r="J20" s="5">
        <v>44454</v>
      </c>
      <c r="K20" s="5">
        <v>13621</v>
      </c>
      <c r="L20" s="5">
        <v>7645</v>
      </c>
      <c r="M20" s="5"/>
      <c r="N20" s="5"/>
      <c r="O20" s="4">
        <f t="shared" si="0"/>
        <v>68402</v>
      </c>
    </row>
    <row r="21" spans="1:15" x14ac:dyDescent="0.25">
      <c r="A21" s="6" t="s">
        <v>14</v>
      </c>
      <c r="B21" s="5">
        <v>49591</v>
      </c>
      <c r="C21" s="5">
        <v>1703316</v>
      </c>
      <c r="D21" s="5">
        <v>246198</v>
      </c>
      <c r="E21" s="5">
        <v>51357</v>
      </c>
      <c r="F21" s="5"/>
      <c r="G21" s="5"/>
      <c r="H21" s="4">
        <f t="shared" si="1"/>
        <v>2050462</v>
      </c>
      <c r="I21" s="5">
        <v>2628</v>
      </c>
      <c r="J21" s="5">
        <v>44985</v>
      </c>
      <c r="K21" s="5">
        <v>12179</v>
      </c>
      <c r="L21" s="5">
        <v>8784</v>
      </c>
      <c r="M21" s="5"/>
      <c r="N21" s="5"/>
      <c r="O21" s="4">
        <f t="shared" si="0"/>
        <v>68576</v>
      </c>
    </row>
    <row r="22" spans="1:15" x14ac:dyDescent="0.25">
      <c r="A22" s="6" t="s">
        <v>15</v>
      </c>
      <c r="B22" s="5">
        <v>48721</v>
      </c>
      <c r="C22" s="5">
        <v>1805631</v>
      </c>
      <c r="D22" s="5">
        <v>235155</v>
      </c>
      <c r="E22" s="5">
        <v>52920</v>
      </c>
      <c r="F22" s="5"/>
      <c r="G22" s="5"/>
      <c r="H22" s="4">
        <f t="shared" si="1"/>
        <v>2142427</v>
      </c>
      <c r="I22" s="5">
        <v>2519</v>
      </c>
      <c r="J22" s="5">
        <v>45753</v>
      </c>
      <c r="K22" s="5">
        <v>11315</v>
      </c>
      <c r="L22" s="5">
        <v>8806</v>
      </c>
      <c r="M22" s="5"/>
      <c r="N22" s="5"/>
      <c r="O22" s="4">
        <f t="shared" si="0"/>
        <v>68393</v>
      </c>
    </row>
    <row r="23" spans="1:15" x14ac:dyDescent="0.25">
      <c r="A23" s="6" t="s">
        <v>16</v>
      </c>
      <c r="B23" s="5">
        <v>44814</v>
      </c>
      <c r="C23" s="5">
        <v>1918985</v>
      </c>
      <c r="D23" s="5">
        <v>265895</v>
      </c>
      <c r="E23" s="5">
        <v>61671</v>
      </c>
      <c r="F23" s="5"/>
      <c r="G23" s="5"/>
      <c r="H23" s="4">
        <f t="shared" si="1"/>
        <v>2291365</v>
      </c>
      <c r="I23" s="5">
        <v>2071</v>
      </c>
      <c r="J23" s="5">
        <v>47147</v>
      </c>
      <c r="K23" s="5">
        <v>17459</v>
      </c>
      <c r="L23" s="5">
        <v>3246</v>
      </c>
      <c r="M23" s="5"/>
      <c r="N23" s="5"/>
      <c r="O23" s="4">
        <f t="shared" si="0"/>
        <v>69923</v>
      </c>
    </row>
    <row r="24" spans="1:15" x14ac:dyDescent="0.25">
      <c r="A24" s="6" t="s">
        <v>17</v>
      </c>
      <c r="B24" s="5">
        <v>43358</v>
      </c>
      <c r="C24" s="5">
        <v>2011772</v>
      </c>
      <c r="D24" s="5">
        <v>229102</v>
      </c>
      <c r="E24" s="5">
        <v>73849</v>
      </c>
      <c r="F24" s="5"/>
      <c r="G24" s="5"/>
      <c r="H24" s="4">
        <f t="shared" si="1"/>
        <v>2358081</v>
      </c>
      <c r="I24" s="5">
        <v>1971</v>
      </c>
      <c r="J24" s="5">
        <v>48460</v>
      </c>
      <c r="K24" s="5">
        <v>17399</v>
      </c>
      <c r="L24" s="5">
        <v>3825</v>
      </c>
      <c r="M24" s="5"/>
      <c r="N24" s="5"/>
      <c r="O24" s="4">
        <f t="shared" si="0"/>
        <v>71655</v>
      </c>
    </row>
    <row r="25" spans="1:15" x14ac:dyDescent="0.25">
      <c r="A25" s="6" t="s">
        <v>18</v>
      </c>
      <c r="B25" s="5">
        <v>45068</v>
      </c>
      <c r="C25" s="5">
        <v>2094000</v>
      </c>
      <c r="D25" s="5">
        <v>226057</v>
      </c>
      <c r="E25" s="5">
        <v>82110</v>
      </c>
      <c r="F25" s="5"/>
      <c r="G25" s="5"/>
      <c r="H25" s="4">
        <f t="shared" si="1"/>
        <v>2447235</v>
      </c>
      <c r="I25" s="5">
        <v>1983</v>
      </c>
      <c r="J25" s="5">
        <v>49400</v>
      </c>
      <c r="K25" s="5">
        <v>17582</v>
      </c>
      <c r="L25" s="5">
        <v>4561</v>
      </c>
      <c r="M25" s="5"/>
      <c r="N25" s="5"/>
      <c r="O25" s="4">
        <f t="shared" si="0"/>
        <v>73526</v>
      </c>
    </row>
    <row r="26" spans="1:15" x14ac:dyDescent="0.25">
      <c r="A26" s="6" t="s">
        <v>19</v>
      </c>
      <c r="B26" s="5">
        <v>50597</v>
      </c>
      <c r="C26" s="5">
        <v>2211738</v>
      </c>
      <c r="D26" s="5">
        <v>233278</v>
      </c>
      <c r="E26" s="5">
        <v>108213</v>
      </c>
      <c r="F26" s="5"/>
      <c r="G26" s="5"/>
      <c r="H26" s="4">
        <f t="shared" si="1"/>
        <v>2603826</v>
      </c>
      <c r="I26" s="5">
        <v>2125</v>
      </c>
      <c r="J26" s="5">
        <v>50188</v>
      </c>
      <c r="K26" s="5">
        <v>18033</v>
      </c>
      <c r="L26" s="5">
        <v>5083</v>
      </c>
      <c r="M26" s="5"/>
      <c r="N26" s="5"/>
      <c r="O26" s="4">
        <f t="shared" si="0"/>
        <v>75429</v>
      </c>
    </row>
    <row r="27" spans="1:15" x14ac:dyDescent="0.25">
      <c r="A27" s="6" t="s">
        <v>22</v>
      </c>
      <c r="B27" s="5">
        <v>55798</v>
      </c>
      <c r="C27" s="5">
        <v>2408109</v>
      </c>
      <c r="D27" s="5">
        <v>283578</v>
      </c>
      <c r="E27" s="5">
        <v>105086</v>
      </c>
      <c r="F27" s="5"/>
      <c r="G27" s="5"/>
      <c r="H27" s="4">
        <f t="shared" si="1"/>
        <v>2852571</v>
      </c>
      <c r="I27" s="5">
        <v>2181</v>
      </c>
      <c r="J27" s="5">
        <v>52168</v>
      </c>
      <c r="K27" s="5">
        <v>18952</v>
      </c>
      <c r="L27" s="5">
        <v>5000</v>
      </c>
      <c r="M27" s="5"/>
      <c r="N27" s="5"/>
      <c r="O27" s="4">
        <f t="shared" si="0"/>
        <v>78301</v>
      </c>
    </row>
    <row r="28" spans="1:15" x14ac:dyDescent="0.25">
      <c r="A28" s="6" t="s">
        <v>23</v>
      </c>
      <c r="B28" s="5">
        <v>63747</v>
      </c>
      <c r="C28" s="5">
        <v>2705453</v>
      </c>
      <c r="D28" s="5">
        <v>351635</v>
      </c>
      <c r="E28" s="5">
        <v>113404</v>
      </c>
      <c r="F28" s="5"/>
      <c r="G28" s="5"/>
      <c r="H28" s="4">
        <f t="shared" si="1"/>
        <v>3234239</v>
      </c>
      <c r="I28" s="5">
        <v>2346</v>
      </c>
      <c r="J28" s="5">
        <v>54519</v>
      </c>
      <c r="K28" s="5">
        <v>19650</v>
      </c>
      <c r="L28" s="5">
        <v>5234</v>
      </c>
      <c r="M28" s="5"/>
      <c r="N28" s="5"/>
      <c r="O28" s="4">
        <f t="shared" si="0"/>
        <v>81749</v>
      </c>
    </row>
    <row r="29" spans="1:15" x14ac:dyDescent="0.25">
      <c r="A29" s="6" t="s">
        <v>29</v>
      </c>
      <c r="B29" s="5">
        <v>64727</v>
      </c>
      <c r="C29" s="5">
        <v>2747411</v>
      </c>
      <c r="D29" s="5">
        <v>415703</v>
      </c>
      <c r="E29" s="5">
        <v>128182</v>
      </c>
      <c r="F29" s="5"/>
      <c r="G29" s="5"/>
      <c r="H29" s="4">
        <f t="shared" si="1"/>
        <v>3356023</v>
      </c>
      <c r="I29" s="5">
        <v>2538</v>
      </c>
      <c r="J29" s="5">
        <v>57077</v>
      </c>
      <c r="K29" s="5">
        <v>19841</v>
      </c>
      <c r="L29" s="5">
        <v>6070</v>
      </c>
      <c r="M29" s="5"/>
      <c r="N29" s="5"/>
      <c r="O29" s="4">
        <f t="shared" si="0"/>
        <v>85526</v>
      </c>
    </row>
    <row r="30" spans="1:15" x14ac:dyDescent="0.25">
      <c r="A30" s="6" t="s">
        <v>30</v>
      </c>
      <c r="B30" s="5">
        <v>72224</v>
      </c>
      <c r="C30" s="5">
        <v>2747080</v>
      </c>
      <c r="D30" s="5">
        <v>459986</v>
      </c>
      <c r="E30" s="5">
        <v>153758</v>
      </c>
      <c r="F30" s="5"/>
      <c r="G30" s="5"/>
      <c r="H30" s="4">
        <f t="shared" si="1"/>
        <v>3433048</v>
      </c>
      <c r="I30" s="5">
        <v>2697</v>
      </c>
      <c r="J30" s="5">
        <v>59271</v>
      </c>
      <c r="K30" s="5">
        <v>21307</v>
      </c>
      <c r="L30" s="5">
        <v>6341</v>
      </c>
      <c r="M30" s="5"/>
      <c r="N30" s="5"/>
      <c r="O30" s="4">
        <f t="shared" si="0"/>
        <v>89616</v>
      </c>
    </row>
    <row r="31" spans="1:15" x14ac:dyDescent="0.25">
      <c r="A31" s="6" t="s">
        <v>35</v>
      </c>
      <c r="B31" s="5">
        <v>72214</v>
      </c>
      <c r="C31" s="5">
        <v>2682129</v>
      </c>
      <c r="D31" s="5">
        <v>528940</v>
      </c>
      <c r="E31" s="5">
        <v>177129</v>
      </c>
      <c r="F31" s="5"/>
      <c r="G31" s="5"/>
      <c r="H31" s="4">
        <f t="shared" si="1"/>
        <v>3460412</v>
      </c>
      <c r="I31" s="5">
        <v>2833</v>
      </c>
      <c r="J31" s="5">
        <v>60841</v>
      </c>
      <c r="K31" s="5">
        <v>21985</v>
      </c>
      <c r="L31" s="5">
        <v>6829</v>
      </c>
      <c r="M31" s="5"/>
      <c r="N31" s="5"/>
      <c r="O31" s="4">
        <f t="shared" si="0"/>
        <v>92488</v>
      </c>
    </row>
    <row r="32" spans="1:15" x14ac:dyDescent="0.25">
      <c r="A32" s="6" t="s">
        <v>36</v>
      </c>
      <c r="B32" s="5">
        <v>75669</v>
      </c>
      <c r="C32" s="5">
        <v>2558467</v>
      </c>
      <c r="D32" s="5">
        <v>588333</v>
      </c>
      <c r="E32" s="5">
        <v>204925</v>
      </c>
      <c r="F32" s="5"/>
      <c r="G32" s="5"/>
      <c r="H32" s="4">
        <f t="shared" si="1"/>
        <v>3427394</v>
      </c>
      <c r="I32" s="5">
        <v>2882</v>
      </c>
      <c r="J32" s="5">
        <v>61657</v>
      </c>
      <c r="K32" s="5">
        <v>21729</v>
      </c>
      <c r="L32" s="5">
        <v>7981</v>
      </c>
      <c r="M32" s="5"/>
      <c r="N32" s="5"/>
      <c r="O32" s="4">
        <f t="shared" si="0"/>
        <v>94249</v>
      </c>
    </row>
    <row r="33" spans="1:15" x14ac:dyDescent="0.25">
      <c r="A33" s="6" t="s">
        <v>50</v>
      </c>
      <c r="B33" s="5">
        <v>77899</v>
      </c>
      <c r="C33" s="5">
        <v>2461135</v>
      </c>
      <c r="D33" s="5">
        <v>626005</v>
      </c>
      <c r="E33" s="5">
        <v>222271</v>
      </c>
      <c r="F33" s="5"/>
      <c r="G33" s="5"/>
      <c r="H33" s="4">
        <f t="shared" si="1"/>
        <v>3387310</v>
      </c>
      <c r="I33" s="5">
        <v>2978</v>
      </c>
      <c r="J33" s="5">
        <v>59889</v>
      </c>
      <c r="K33" s="5">
        <v>24052</v>
      </c>
      <c r="L33" s="5">
        <v>7722</v>
      </c>
      <c r="M33" s="5"/>
      <c r="N33" s="5"/>
      <c r="O33" s="4">
        <f t="shared" si="0"/>
        <v>94641</v>
      </c>
    </row>
    <row r="34" spans="1:15" x14ac:dyDescent="0.25">
      <c r="A34" s="6" t="s">
        <v>51</v>
      </c>
      <c r="B34" s="5">
        <v>79585</v>
      </c>
      <c r="C34" s="5">
        <v>2311107</v>
      </c>
      <c r="D34" s="5">
        <v>637629</v>
      </c>
      <c r="E34" s="5">
        <v>260965</v>
      </c>
      <c r="F34" s="5"/>
      <c r="G34" s="5"/>
      <c r="H34" s="4">
        <f t="shared" si="1"/>
        <v>3289286</v>
      </c>
      <c r="I34" s="5">
        <v>3130</v>
      </c>
      <c r="J34" s="5">
        <v>58776</v>
      </c>
      <c r="K34" s="5">
        <v>27240</v>
      </c>
      <c r="L34" s="5">
        <v>7857</v>
      </c>
      <c r="M34" s="5"/>
      <c r="N34" s="5"/>
      <c r="O34" s="4">
        <f t="shared" si="0"/>
        <v>97003</v>
      </c>
    </row>
    <row r="35" spans="1:15" x14ac:dyDescent="0.25">
      <c r="A35" s="51" t="s">
        <v>62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spans="1:15" x14ac:dyDescent="0.25">
      <c r="A36" s="6" t="s">
        <v>63</v>
      </c>
    </row>
    <row r="37" spans="1:15" x14ac:dyDescent="0.25">
      <c r="A37" s="6" t="s">
        <v>64</v>
      </c>
      <c r="B37" s="5"/>
      <c r="C37" s="5"/>
      <c r="J37" s="5"/>
    </row>
    <row r="38" spans="1:15" x14ac:dyDescent="0.25">
      <c r="A38" s="6" t="s">
        <v>65</v>
      </c>
      <c r="B38" s="5"/>
      <c r="C38" s="5"/>
      <c r="E38" s="39"/>
      <c r="F38" s="39"/>
      <c r="G38" s="39"/>
      <c r="H38" s="41"/>
      <c r="J38" s="5"/>
      <c r="O38" s="39"/>
    </row>
    <row r="39" spans="1:15" x14ac:dyDescent="0.25">
      <c r="A39" s="6" t="s">
        <v>66</v>
      </c>
      <c r="C39" s="5"/>
      <c r="D39" s="5"/>
      <c r="E39" s="5"/>
      <c r="F39" s="5"/>
      <c r="G39" s="5"/>
      <c r="H39" s="41"/>
    </row>
    <row r="40" spans="1:15" x14ac:dyDescent="0.25">
      <c r="A40" s="6" t="s">
        <v>67</v>
      </c>
      <c r="C40" s="5"/>
    </row>
    <row r="41" spans="1:15" x14ac:dyDescent="0.25">
      <c r="A41" s="6" t="s">
        <v>68</v>
      </c>
      <c r="E41" s="39"/>
      <c r="F41" s="39"/>
      <c r="G41" s="39"/>
      <c r="H41" s="39"/>
    </row>
    <row r="42" spans="1:15" x14ac:dyDescent="0.25">
      <c r="A42" s="6" t="s">
        <v>69</v>
      </c>
      <c r="L42" s="41"/>
      <c r="M42" s="41"/>
      <c r="N42" s="41"/>
    </row>
    <row r="43" spans="1:15" x14ac:dyDescent="0.25">
      <c r="A43" s="6" t="s">
        <v>70</v>
      </c>
    </row>
    <row r="44" spans="1:15" x14ac:dyDescent="0.25">
      <c r="A44" s="6" t="s">
        <v>71</v>
      </c>
    </row>
    <row r="45" spans="1:15" x14ac:dyDescent="0.25">
      <c r="A45" s="6" t="s">
        <v>72</v>
      </c>
      <c r="D45" s="11"/>
      <c r="E45" s="11"/>
      <c r="F45" s="11"/>
      <c r="G45" s="11"/>
    </row>
    <row r="46" spans="1:15" x14ac:dyDescent="0.25">
      <c r="A46" s="6" t="s">
        <v>73</v>
      </c>
    </row>
    <row r="47" spans="1:15" x14ac:dyDescent="0.25">
      <c r="A47" s="6" t="s">
        <v>74</v>
      </c>
    </row>
    <row r="48" spans="1:15" x14ac:dyDescent="0.25">
      <c r="A48" s="6" t="s">
        <v>75</v>
      </c>
    </row>
    <row r="49" spans="1:15" x14ac:dyDescent="0.25">
      <c r="A49" s="6" t="s">
        <v>76</v>
      </c>
      <c r="C49" s="5"/>
      <c r="D49" s="5"/>
    </row>
    <row r="50" spans="1:15" x14ac:dyDescent="0.25">
      <c r="A50" s="43" t="s">
        <v>77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20.5" x14ac:dyDescent="0.25">
      <c r="A51" s="123" t="s">
        <v>410</v>
      </c>
    </row>
  </sheetData>
  <mergeCells count="3">
    <mergeCell ref="A3:A4"/>
    <mergeCell ref="B3:H3"/>
    <mergeCell ref="I3:O3"/>
  </mergeCells>
  <phoneticPr fontId="6" type="noConversion"/>
  <pageMargins left="0.75" right="0.75" top="1" bottom="1" header="0.5" footer="0.5"/>
  <pageSetup orientation="portrait" horizontalDpi="30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0000"/>
  </sheetPr>
  <dimension ref="A1:AB43"/>
  <sheetViews>
    <sheetView zoomScale="108" zoomScaleNormal="108" workbookViewId="0">
      <selection activeCell="A35" sqref="A35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8" style="25" customWidth="1"/>
    <col min="16" max="28" width="8" customWidth="1"/>
  </cols>
  <sheetData>
    <row r="1" spans="1:28" ht="20.5" x14ac:dyDescent="0.85">
      <c r="A1" s="55" t="s">
        <v>119</v>
      </c>
    </row>
    <row r="2" spans="1:28" ht="5.25" customHeight="1" x14ac:dyDescent="0.25">
      <c r="A2" s="8"/>
    </row>
    <row r="3" spans="1:28" s="2" customFormat="1" ht="24" customHeight="1" x14ac:dyDescent="0.25">
      <c r="A3" s="56" t="s">
        <v>90</v>
      </c>
      <c r="B3" s="7">
        <v>1998</v>
      </c>
      <c r="C3" s="7">
        <v>1999</v>
      </c>
      <c r="D3" s="7">
        <v>2000</v>
      </c>
      <c r="E3" s="7">
        <v>2001</v>
      </c>
      <c r="F3" s="7">
        <v>2002</v>
      </c>
      <c r="G3" s="7">
        <v>2003</v>
      </c>
      <c r="H3" s="7">
        <v>2004</v>
      </c>
      <c r="I3" s="7">
        <v>2005</v>
      </c>
      <c r="J3" s="7">
        <v>2006</v>
      </c>
      <c r="K3" s="7">
        <v>2007</v>
      </c>
      <c r="L3" s="7">
        <v>2008</v>
      </c>
      <c r="M3" s="7">
        <v>2009</v>
      </c>
      <c r="N3" s="7">
        <v>2010</v>
      </c>
      <c r="O3" s="7">
        <v>2011</v>
      </c>
      <c r="P3" s="7">
        <v>2012</v>
      </c>
      <c r="Q3" s="7">
        <v>2013</v>
      </c>
      <c r="R3" s="7">
        <v>2014</v>
      </c>
      <c r="S3" s="7">
        <v>2015</v>
      </c>
      <c r="T3" s="7">
        <v>2016</v>
      </c>
      <c r="U3" s="7">
        <v>2017</v>
      </c>
      <c r="V3" s="7">
        <v>2018</v>
      </c>
      <c r="W3" s="7">
        <v>2019</v>
      </c>
      <c r="X3" s="7">
        <v>2020</v>
      </c>
      <c r="Y3" s="7">
        <v>2021</v>
      </c>
      <c r="Z3" s="7">
        <v>2022</v>
      </c>
      <c r="AA3" s="7">
        <v>2023</v>
      </c>
      <c r="AB3" s="7">
        <v>2024</v>
      </c>
    </row>
    <row r="4" spans="1:28" ht="13.5" customHeight="1" x14ac:dyDescent="0.25">
      <c r="A4" s="57" t="s">
        <v>91</v>
      </c>
      <c r="B4" s="16">
        <v>357</v>
      </c>
      <c r="C4" s="16">
        <v>380</v>
      </c>
      <c r="D4" s="16">
        <v>373</v>
      </c>
      <c r="E4" s="16">
        <v>404</v>
      </c>
      <c r="F4" s="16">
        <v>440</v>
      </c>
      <c r="G4" s="16">
        <v>472</v>
      </c>
      <c r="H4" s="16">
        <v>480</v>
      </c>
      <c r="I4" s="16">
        <v>532</v>
      </c>
      <c r="J4" s="16">
        <v>554</v>
      </c>
      <c r="K4" s="16">
        <v>573</v>
      </c>
      <c r="L4" s="16">
        <v>589</v>
      </c>
      <c r="M4" s="26" t="s">
        <v>25</v>
      </c>
      <c r="N4" s="27">
        <v>1060</v>
      </c>
    </row>
    <row r="5" spans="1:28" ht="16.5" customHeight="1" x14ac:dyDescent="0.25">
      <c r="A5" s="57" t="s">
        <v>92</v>
      </c>
      <c r="B5" s="16">
        <v>430</v>
      </c>
      <c r="C5" s="16">
        <v>458</v>
      </c>
      <c r="D5" s="16">
        <v>491</v>
      </c>
      <c r="E5" s="16">
        <v>524</v>
      </c>
      <c r="F5" s="16">
        <v>577</v>
      </c>
      <c r="G5" s="16">
        <v>613</v>
      </c>
      <c r="H5" s="16">
        <v>648</v>
      </c>
      <c r="I5" s="16">
        <v>677</v>
      </c>
      <c r="J5" s="16">
        <v>685</v>
      </c>
      <c r="K5" s="16">
        <v>718</v>
      </c>
      <c r="L5" s="16">
        <v>775</v>
      </c>
      <c r="M5" s="26" t="s">
        <v>33</v>
      </c>
      <c r="N5" s="27">
        <v>775</v>
      </c>
    </row>
    <row r="6" spans="1:28" ht="17" x14ac:dyDescent="0.25">
      <c r="A6" s="57" t="s">
        <v>93</v>
      </c>
      <c r="B6" s="16">
        <v>835</v>
      </c>
      <c r="C6" s="16">
        <v>838</v>
      </c>
      <c r="D6" s="16">
        <v>845</v>
      </c>
      <c r="E6" s="16">
        <v>862</v>
      </c>
      <c r="F6" s="16">
        <v>888</v>
      </c>
      <c r="G6" s="16">
        <v>918</v>
      </c>
      <c r="H6" s="16">
        <v>929</v>
      </c>
      <c r="I6" s="16">
        <v>953</v>
      </c>
      <c r="J6" s="16">
        <v>977</v>
      </c>
      <c r="K6" s="16">
        <v>1038</v>
      </c>
      <c r="L6" s="16">
        <v>1060</v>
      </c>
      <c r="M6" s="26" t="s">
        <v>39</v>
      </c>
      <c r="N6" s="27">
        <v>727</v>
      </c>
    </row>
    <row r="7" spans="1:28" ht="12.75" customHeight="1" x14ac:dyDescent="0.25">
      <c r="A7" s="57" t="s">
        <v>94</v>
      </c>
      <c r="B7" s="16">
        <v>247</v>
      </c>
      <c r="C7" s="16">
        <v>250</v>
      </c>
      <c r="D7" s="16">
        <v>254</v>
      </c>
      <c r="E7" s="16">
        <v>254</v>
      </c>
      <c r="F7" s="16">
        <v>268</v>
      </c>
      <c r="G7" s="16">
        <v>287</v>
      </c>
      <c r="H7" s="16">
        <v>298</v>
      </c>
      <c r="I7" s="16">
        <v>321</v>
      </c>
      <c r="J7" s="16">
        <v>332</v>
      </c>
      <c r="K7" s="16">
        <v>345</v>
      </c>
      <c r="L7" s="16">
        <v>366</v>
      </c>
      <c r="M7" s="26" t="s">
        <v>27</v>
      </c>
      <c r="N7" s="27">
        <v>702</v>
      </c>
    </row>
    <row r="8" spans="1:28" ht="17" x14ac:dyDescent="0.25">
      <c r="A8" s="57" t="s">
        <v>95</v>
      </c>
      <c r="B8" s="16">
        <v>296</v>
      </c>
      <c r="C8" s="16">
        <v>304</v>
      </c>
      <c r="D8" s="16">
        <v>318</v>
      </c>
      <c r="E8" s="16">
        <v>340</v>
      </c>
      <c r="F8" s="16">
        <v>349</v>
      </c>
      <c r="G8" s="16">
        <v>363</v>
      </c>
      <c r="H8" s="16">
        <v>373</v>
      </c>
      <c r="I8" s="16">
        <v>389</v>
      </c>
      <c r="J8" s="16">
        <v>397</v>
      </c>
      <c r="K8" s="16">
        <v>417</v>
      </c>
      <c r="L8" s="16">
        <v>451</v>
      </c>
      <c r="M8" s="26" t="s">
        <v>31</v>
      </c>
      <c r="N8" s="27">
        <v>637</v>
      </c>
    </row>
    <row r="9" spans="1:28" ht="17" x14ac:dyDescent="0.25">
      <c r="A9" s="57" t="s">
        <v>96</v>
      </c>
      <c r="B9" s="16">
        <v>447</v>
      </c>
      <c r="C9" s="16">
        <v>448</v>
      </c>
      <c r="D9" s="16">
        <v>455</v>
      </c>
      <c r="E9" s="16">
        <v>462</v>
      </c>
      <c r="F9" s="16">
        <v>477</v>
      </c>
      <c r="G9" s="16">
        <v>498</v>
      </c>
      <c r="H9" s="16">
        <v>534</v>
      </c>
      <c r="I9" s="16">
        <v>551</v>
      </c>
      <c r="J9" s="16">
        <v>570</v>
      </c>
      <c r="K9" s="16">
        <v>584</v>
      </c>
      <c r="L9" s="16">
        <v>599</v>
      </c>
      <c r="M9" s="26" t="s">
        <v>48</v>
      </c>
      <c r="N9" s="27">
        <v>599</v>
      </c>
    </row>
    <row r="10" spans="1:28" ht="17" x14ac:dyDescent="0.25">
      <c r="A10" s="57" t="s">
        <v>97</v>
      </c>
      <c r="B10" s="16">
        <v>316</v>
      </c>
      <c r="C10" s="16">
        <v>330</v>
      </c>
      <c r="D10" s="16">
        <v>340</v>
      </c>
      <c r="E10" s="16">
        <v>347</v>
      </c>
      <c r="F10" s="16">
        <v>357</v>
      </c>
      <c r="G10" s="16">
        <v>393</v>
      </c>
      <c r="H10" s="16">
        <v>412</v>
      </c>
      <c r="I10" s="16">
        <v>424</v>
      </c>
      <c r="J10" s="16">
        <v>442</v>
      </c>
      <c r="K10" s="16">
        <v>462</v>
      </c>
      <c r="L10" s="16">
        <v>481</v>
      </c>
      <c r="M10" s="26" t="s">
        <v>54</v>
      </c>
      <c r="N10" s="27">
        <v>590</v>
      </c>
    </row>
    <row r="11" spans="1:28" ht="17" x14ac:dyDescent="0.25">
      <c r="A11" s="57" t="s">
        <v>98</v>
      </c>
      <c r="B11" s="16">
        <v>537</v>
      </c>
      <c r="C11" s="16">
        <v>550</v>
      </c>
      <c r="D11" s="16">
        <v>554</v>
      </c>
      <c r="E11" s="16">
        <v>561</v>
      </c>
      <c r="F11" s="16">
        <v>582</v>
      </c>
      <c r="G11" s="16">
        <v>590</v>
      </c>
      <c r="H11" s="16">
        <v>604</v>
      </c>
      <c r="I11" s="16">
        <v>636</v>
      </c>
      <c r="J11" s="16">
        <v>661</v>
      </c>
      <c r="K11" s="16">
        <v>684</v>
      </c>
      <c r="L11" s="16">
        <v>702</v>
      </c>
      <c r="M11" s="26" t="s">
        <v>32</v>
      </c>
      <c r="N11" s="27">
        <v>589</v>
      </c>
    </row>
    <row r="12" spans="1:28" ht="17" x14ac:dyDescent="0.25">
      <c r="A12" s="57" t="s">
        <v>99</v>
      </c>
      <c r="B12" s="16">
        <v>65</v>
      </c>
      <c r="C12" s="16">
        <v>72</v>
      </c>
      <c r="D12" s="16">
        <v>76</v>
      </c>
      <c r="E12" s="16">
        <v>77</v>
      </c>
      <c r="F12" s="16">
        <v>84</v>
      </c>
      <c r="G12" s="16">
        <v>103</v>
      </c>
      <c r="H12" s="16">
        <v>113</v>
      </c>
      <c r="I12" s="16">
        <v>109</v>
      </c>
      <c r="J12" s="16">
        <v>119</v>
      </c>
      <c r="K12" s="16">
        <v>123</v>
      </c>
      <c r="L12" s="16">
        <v>130</v>
      </c>
      <c r="M12" s="26" t="s">
        <v>52</v>
      </c>
      <c r="N12" s="27">
        <v>481</v>
      </c>
    </row>
    <row r="13" spans="1:28" ht="17" x14ac:dyDescent="0.25">
      <c r="A13" s="57" t="s">
        <v>100</v>
      </c>
      <c r="B13" s="16">
        <v>230</v>
      </c>
      <c r="C13" s="16">
        <v>230</v>
      </c>
      <c r="D13" s="16">
        <v>232</v>
      </c>
      <c r="E13" s="16">
        <v>234</v>
      </c>
      <c r="F13" s="16">
        <v>243</v>
      </c>
      <c r="G13" s="16">
        <v>251</v>
      </c>
      <c r="H13" s="16">
        <v>273</v>
      </c>
      <c r="I13" s="16">
        <v>277</v>
      </c>
      <c r="J13" s="16">
        <v>286</v>
      </c>
      <c r="K13" s="16">
        <v>302</v>
      </c>
      <c r="L13" s="16">
        <v>318</v>
      </c>
      <c r="M13" s="26" t="s">
        <v>34</v>
      </c>
      <c r="N13" s="27">
        <v>451</v>
      </c>
    </row>
    <row r="14" spans="1:28" ht="17" x14ac:dyDescent="0.25">
      <c r="A14" s="57" t="s">
        <v>101</v>
      </c>
      <c r="B14" s="16">
        <v>29</v>
      </c>
      <c r="C14" s="16">
        <v>32</v>
      </c>
      <c r="D14" s="16">
        <v>33</v>
      </c>
      <c r="E14" s="16">
        <v>30</v>
      </c>
      <c r="F14" s="16">
        <v>46</v>
      </c>
      <c r="G14" s="16">
        <v>53</v>
      </c>
      <c r="H14" s="16">
        <v>66</v>
      </c>
      <c r="I14" s="16">
        <v>74</v>
      </c>
      <c r="J14" s="16">
        <v>79</v>
      </c>
      <c r="K14" s="16">
        <v>82</v>
      </c>
      <c r="L14" s="16">
        <v>90</v>
      </c>
      <c r="M14" s="26" t="s">
        <v>28</v>
      </c>
      <c r="N14" s="27">
        <v>388</v>
      </c>
    </row>
    <row r="15" spans="1:28" ht="17" x14ac:dyDescent="0.25">
      <c r="A15" s="57" t="s">
        <v>102</v>
      </c>
      <c r="B15" s="16">
        <v>170</v>
      </c>
      <c r="C15" s="16">
        <v>160</v>
      </c>
      <c r="D15" s="16">
        <v>166</v>
      </c>
      <c r="E15" s="16">
        <v>170</v>
      </c>
      <c r="F15" s="16">
        <v>177</v>
      </c>
      <c r="G15" s="16">
        <v>192</v>
      </c>
      <c r="H15" s="16">
        <v>200</v>
      </c>
      <c r="I15" s="16">
        <v>202</v>
      </c>
      <c r="J15" s="16">
        <v>203</v>
      </c>
      <c r="K15" s="16">
        <v>215</v>
      </c>
      <c r="L15" s="16">
        <v>232</v>
      </c>
      <c r="M15" s="26" t="s">
        <v>26</v>
      </c>
      <c r="N15" s="27">
        <v>366</v>
      </c>
    </row>
    <row r="16" spans="1:28" ht="17" x14ac:dyDescent="0.25">
      <c r="A16" s="57" t="s">
        <v>103</v>
      </c>
      <c r="B16" s="16">
        <v>106</v>
      </c>
      <c r="C16" s="16">
        <v>110</v>
      </c>
      <c r="D16" s="16">
        <v>114</v>
      </c>
      <c r="E16" s="16">
        <v>118</v>
      </c>
      <c r="F16" s="16">
        <v>138</v>
      </c>
      <c r="G16" s="16">
        <v>142</v>
      </c>
      <c r="H16" s="16">
        <v>165</v>
      </c>
      <c r="I16" s="16">
        <v>173</v>
      </c>
      <c r="J16" s="16">
        <v>183</v>
      </c>
      <c r="K16" s="16">
        <v>204</v>
      </c>
      <c r="L16" s="16">
        <v>215</v>
      </c>
      <c r="M16" s="26" t="s">
        <v>44</v>
      </c>
      <c r="N16" s="27">
        <v>362</v>
      </c>
    </row>
    <row r="17" spans="1:14" ht="17" x14ac:dyDescent="0.25">
      <c r="A17" s="57" t="s">
        <v>104</v>
      </c>
      <c r="B17" s="16">
        <v>604</v>
      </c>
      <c r="C17" s="16">
        <v>601</v>
      </c>
      <c r="D17" s="16">
        <v>610</v>
      </c>
      <c r="E17" s="16">
        <v>612</v>
      </c>
      <c r="F17" s="16">
        <v>620</v>
      </c>
      <c r="G17" s="16">
        <v>647</v>
      </c>
      <c r="H17" s="16">
        <v>660</v>
      </c>
      <c r="I17" s="16">
        <v>679</v>
      </c>
      <c r="J17" s="16">
        <v>696</v>
      </c>
      <c r="K17" s="16">
        <v>707</v>
      </c>
      <c r="L17" s="16">
        <v>727</v>
      </c>
      <c r="M17" s="26" t="s">
        <v>43</v>
      </c>
      <c r="N17" s="27">
        <v>318</v>
      </c>
    </row>
    <row r="18" spans="1:14" ht="17" x14ac:dyDescent="0.25">
      <c r="A18" s="57" t="s">
        <v>105</v>
      </c>
      <c r="B18" s="16">
        <v>211</v>
      </c>
      <c r="C18" s="16">
        <v>217</v>
      </c>
      <c r="D18" s="16">
        <v>231</v>
      </c>
      <c r="E18" s="16">
        <v>258</v>
      </c>
      <c r="F18" s="16">
        <v>267</v>
      </c>
      <c r="G18" s="16">
        <v>283</v>
      </c>
      <c r="H18" s="16">
        <v>308</v>
      </c>
      <c r="I18" s="16">
        <v>321</v>
      </c>
      <c r="J18" s="16">
        <v>326</v>
      </c>
      <c r="K18" s="16">
        <v>346</v>
      </c>
      <c r="L18" s="16">
        <v>362</v>
      </c>
      <c r="M18" s="26" t="s">
        <v>24</v>
      </c>
      <c r="N18" s="27">
        <v>232</v>
      </c>
    </row>
    <row r="19" spans="1:14" ht="17" x14ac:dyDescent="0.25">
      <c r="A19" s="57" t="s">
        <v>106</v>
      </c>
      <c r="B19" s="16">
        <v>79</v>
      </c>
      <c r="C19" s="16">
        <v>79</v>
      </c>
      <c r="D19" s="16">
        <v>84</v>
      </c>
      <c r="E19" s="16">
        <v>86</v>
      </c>
      <c r="F19" s="16">
        <v>106</v>
      </c>
      <c r="G19" s="16">
        <v>123</v>
      </c>
      <c r="H19" s="16">
        <v>131</v>
      </c>
      <c r="I19" s="16">
        <v>135</v>
      </c>
      <c r="J19" s="16">
        <v>154</v>
      </c>
      <c r="K19" s="16">
        <v>170</v>
      </c>
      <c r="L19" s="16">
        <v>178</v>
      </c>
      <c r="M19" s="26" t="s">
        <v>38</v>
      </c>
      <c r="N19" s="27">
        <v>215</v>
      </c>
    </row>
    <row r="20" spans="1:14" ht="17" x14ac:dyDescent="0.25">
      <c r="A20" s="57" t="s">
        <v>107</v>
      </c>
      <c r="B20" s="16">
        <v>379</v>
      </c>
      <c r="C20" s="16">
        <v>398</v>
      </c>
      <c r="D20" s="16">
        <v>385</v>
      </c>
      <c r="E20" s="16">
        <v>400</v>
      </c>
      <c r="F20" s="16">
        <v>450</v>
      </c>
      <c r="G20" s="16">
        <v>463</v>
      </c>
      <c r="H20" s="16">
        <v>470</v>
      </c>
      <c r="I20" s="16">
        <v>482</v>
      </c>
      <c r="J20" s="16">
        <v>504</v>
      </c>
      <c r="K20" s="16">
        <v>535</v>
      </c>
      <c r="L20" s="16">
        <v>590</v>
      </c>
      <c r="M20" s="26" t="s">
        <v>53</v>
      </c>
      <c r="N20" s="27">
        <v>189</v>
      </c>
    </row>
    <row r="21" spans="1:14" ht="17" x14ac:dyDescent="0.25">
      <c r="A21" s="57" t="s">
        <v>108</v>
      </c>
      <c r="B21" s="16">
        <v>55</v>
      </c>
      <c r="C21" s="16">
        <v>56</v>
      </c>
      <c r="D21" s="16">
        <v>64</v>
      </c>
      <c r="E21" s="16">
        <v>66</v>
      </c>
      <c r="F21" s="16">
        <v>77</v>
      </c>
      <c r="G21" s="16">
        <v>79</v>
      </c>
      <c r="H21" s="16">
        <v>79</v>
      </c>
      <c r="I21" s="16">
        <v>84</v>
      </c>
      <c r="J21" s="16">
        <v>87</v>
      </c>
      <c r="K21" s="16">
        <v>92</v>
      </c>
      <c r="L21" s="16">
        <v>96</v>
      </c>
      <c r="M21" s="26" t="s">
        <v>40</v>
      </c>
      <c r="N21" s="27">
        <v>178</v>
      </c>
    </row>
    <row r="22" spans="1:14" ht="17" x14ac:dyDescent="0.25">
      <c r="A22" s="57" t="s">
        <v>109</v>
      </c>
      <c r="B22" s="16">
        <v>92</v>
      </c>
      <c r="C22" s="16">
        <v>90</v>
      </c>
      <c r="D22" s="16">
        <v>101</v>
      </c>
      <c r="E22" s="16">
        <v>127</v>
      </c>
      <c r="F22" s="16">
        <v>135</v>
      </c>
      <c r="G22" s="16">
        <v>138</v>
      </c>
      <c r="H22" s="16">
        <v>143</v>
      </c>
      <c r="I22" s="16">
        <v>150</v>
      </c>
      <c r="J22" s="16">
        <v>152</v>
      </c>
      <c r="K22" s="16">
        <v>154</v>
      </c>
      <c r="L22" s="16">
        <v>157</v>
      </c>
      <c r="M22" s="26" t="s">
        <v>41</v>
      </c>
      <c r="N22" s="27">
        <v>157</v>
      </c>
    </row>
    <row r="23" spans="1:14" ht="17" x14ac:dyDescent="0.25">
      <c r="A23" s="57" t="s">
        <v>110</v>
      </c>
      <c r="B23" s="16">
        <v>298</v>
      </c>
      <c r="C23" s="16">
        <v>298</v>
      </c>
      <c r="D23" s="16">
        <v>307</v>
      </c>
      <c r="E23" s="16">
        <v>307</v>
      </c>
      <c r="F23" s="16">
        <v>314</v>
      </c>
      <c r="G23" s="16">
        <v>321</v>
      </c>
      <c r="H23" s="16">
        <v>332</v>
      </c>
      <c r="I23" s="16">
        <v>347</v>
      </c>
      <c r="J23" s="16">
        <v>361</v>
      </c>
      <c r="K23" s="16">
        <v>373</v>
      </c>
      <c r="L23" s="16">
        <v>388</v>
      </c>
      <c r="M23" s="26" t="s">
        <v>42</v>
      </c>
      <c r="N23" s="27">
        <v>130</v>
      </c>
    </row>
    <row r="24" spans="1:14" ht="17" x14ac:dyDescent="0.25">
      <c r="A24" s="57" t="s">
        <v>111</v>
      </c>
      <c r="B24" s="16">
        <v>484</v>
      </c>
      <c r="C24" s="16">
        <v>514</v>
      </c>
      <c r="D24" s="16">
        <v>521</v>
      </c>
      <c r="E24" s="16">
        <v>525</v>
      </c>
      <c r="F24" s="16">
        <v>534</v>
      </c>
      <c r="G24" s="16">
        <v>547</v>
      </c>
      <c r="H24" s="16">
        <v>570</v>
      </c>
      <c r="I24" s="16">
        <v>593</v>
      </c>
      <c r="J24" s="16">
        <v>615</v>
      </c>
      <c r="K24" s="16">
        <v>625</v>
      </c>
      <c r="L24" s="16">
        <v>637</v>
      </c>
      <c r="M24" s="26" t="s">
        <v>45</v>
      </c>
      <c r="N24" s="27">
        <v>96</v>
      </c>
    </row>
    <row r="25" spans="1:14" ht="17" x14ac:dyDescent="0.25">
      <c r="A25" s="57" t="s">
        <v>112</v>
      </c>
      <c r="B25" s="16" t="s">
        <v>21</v>
      </c>
      <c r="C25" s="16" t="s">
        <v>21</v>
      </c>
      <c r="D25" s="16">
        <v>61</v>
      </c>
      <c r="E25" s="16">
        <v>97</v>
      </c>
      <c r="F25" s="16">
        <v>117</v>
      </c>
      <c r="G25" s="16">
        <v>121</v>
      </c>
      <c r="H25" s="16">
        <v>148</v>
      </c>
      <c r="I25" s="16">
        <v>158</v>
      </c>
      <c r="J25" s="16">
        <v>163</v>
      </c>
      <c r="K25" s="16">
        <v>181</v>
      </c>
      <c r="L25" s="16">
        <v>189</v>
      </c>
      <c r="M25" s="26" t="s">
        <v>37</v>
      </c>
      <c r="N25" s="27">
        <v>90</v>
      </c>
    </row>
    <row r="26" spans="1:14" ht="17" x14ac:dyDescent="0.25">
      <c r="A26" s="57" t="s">
        <v>113</v>
      </c>
      <c r="B26" s="16">
        <v>19</v>
      </c>
      <c r="C26" s="16">
        <v>23</v>
      </c>
      <c r="D26" s="16">
        <v>23</v>
      </c>
      <c r="E26" s="16">
        <v>26</v>
      </c>
      <c r="F26" s="16">
        <v>26</v>
      </c>
      <c r="G26" s="16">
        <v>26</v>
      </c>
      <c r="H26" s="16">
        <v>30</v>
      </c>
      <c r="I26" s="16">
        <v>31</v>
      </c>
      <c r="J26" s="16">
        <v>31</v>
      </c>
      <c r="K26" s="16">
        <v>33</v>
      </c>
      <c r="L26" s="16">
        <v>35</v>
      </c>
      <c r="M26" s="26" t="s">
        <v>47</v>
      </c>
      <c r="N26" s="27">
        <v>64</v>
      </c>
    </row>
    <row r="27" spans="1:14" ht="17" x14ac:dyDescent="0.25">
      <c r="A27" s="57" t="s">
        <v>114</v>
      </c>
      <c r="B27" s="16">
        <v>8</v>
      </c>
      <c r="C27" s="16">
        <v>11</v>
      </c>
      <c r="D27" s="16">
        <v>13</v>
      </c>
      <c r="E27" s="16">
        <v>14</v>
      </c>
      <c r="F27" s="16">
        <v>26</v>
      </c>
      <c r="G27" s="16">
        <v>31</v>
      </c>
      <c r="H27" s="16">
        <v>33</v>
      </c>
      <c r="I27" s="16">
        <v>37</v>
      </c>
      <c r="J27" s="16">
        <v>51</v>
      </c>
      <c r="K27" s="16">
        <v>55</v>
      </c>
      <c r="L27" s="16">
        <v>64</v>
      </c>
      <c r="M27" s="26" t="s">
        <v>46</v>
      </c>
      <c r="N27" s="27">
        <v>35</v>
      </c>
    </row>
    <row r="28" spans="1:14" ht="17" x14ac:dyDescent="0.25">
      <c r="A28" s="57" t="s">
        <v>115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26"/>
      <c r="N28" s="27"/>
    </row>
    <row r="29" spans="1:14" ht="17" x14ac:dyDescent="0.25">
      <c r="A29" s="57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4" ht="17" x14ac:dyDescent="0.25">
      <c r="A30" s="57" t="s">
        <v>83</v>
      </c>
      <c r="B30" s="16">
        <v>6294</v>
      </c>
      <c r="C30" s="16">
        <v>6449</v>
      </c>
      <c r="D30" s="16">
        <v>6651</v>
      </c>
      <c r="E30" s="16">
        <v>6901</v>
      </c>
      <c r="F30" s="16">
        <v>7298</v>
      </c>
      <c r="G30" s="16">
        <v>7654</v>
      </c>
      <c r="H30" s="16">
        <v>7999</v>
      </c>
      <c r="I30" s="16">
        <v>8335</v>
      </c>
      <c r="J30" s="16">
        <v>8628</v>
      </c>
      <c r="K30" s="16">
        <v>9018</v>
      </c>
      <c r="L30" s="16">
        <v>9431</v>
      </c>
    </row>
    <row r="31" spans="1:14" ht="17" x14ac:dyDescent="0.25">
      <c r="A31" s="57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4" ht="17" x14ac:dyDescent="0.25">
      <c r="A32" s="58" t="s">
        <v>116</v>
      </c>
      <c r="B32" s="16">
        <v>1090</v>
      </c>
      <c r="C32" s="16">
        <v>1094</v>
      </c>
      <c r="D32" s="16">
        <v>820</v>
      </c>
      <c r="E32" s="16">
        <v>846</v>
      </c>
      <c r="F32" s="16">
        <v>915</v>
      </c>
      <c r="G32" s="16">
        <v>968</v>
      </c>
      <c r="H32" s="16">
        <v>1015</v>
      </c>
      <c r="I32" s="16">
        <v>1047</v>
      </c>
      <c r="J32" s="16">
        <v>1086</v>
      </c>
      <c r="K32" s="16">
        <v>1144</v>
      </c>
      <c r="L32" s="16">
        <v>1202</v>
      </c>
    </row>
    <row r="33" spans="1:28" ht="17" x14ac:dyDescent="0.25">
      <c r="A33" s="58" t="s">
        <v>117</v>
      </c>
      <c r="B33" s="16">
        <v>4537</v>
      </c>
      <c r="C33" s="16">
        <v>4605</v>
      </c>
      <c r="D33" s="16">
        <v>5546</v>
      </c>
      <c r="E33" s="16">
        <v>5718</v>
      </c>
      <c r="F33" s="16">
        <v>5969</v>
      </c>
      <c r="G33" s="16">
        <v>6225</v>
      </c>
      <c r="H33" s="16">
        <v>6468</v>
      </c>
      <c r="I33" s="16">
        <v>6742</v>
      </c>
      <c r="J33" s="16">
        <v>6964</v>
      </c>
      <c r="K33" s="16">
        <v>7273</v>
      </c>
      <c r="L33" s="16">
        <v>7587</v>
      </c>
    </row>
    <row r="34" spans="1:28" ht="17" x14ac:dyDescent="0.25">
      <c r="A34" s="59" t="s">
        <v>118</v>
      </c>
      <c r="B34" s="17">
        <v>667</v>
      </c>
      <c r="C34" s="17">
        <v>750</v>
      </c>
      <c r="D34" s="17">
        <v>285</v>
      </c>
      <c r="E34" s="17">
        <v>337</v>
      </c>
      <c r="F34" s="17">
        <v>414</v>
      </c>
      <c r="G34" s="17">
        <v>461</v>
      </c>
      <c r="H34" s="17">
        <v>516</v>
      </c>
      <c r="I34" s="17">
        <v>546</v>
      </c>
      <c r="J34" s="17">
        <v>578</v>
      </c>
      <c r="K34" s="17">
        <v>601</v>
      </c>
      <c r="L34" s="17">
        <v>642</v>
      </c>
      <c r="M34" s="45"/>
      <c r="N34" s="45"/>
      <c r="O34" s="4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1:28" ht="20.5" x14ac:dyDescent="0.25">
      <c r="A35" s="123" t="s">
        <v>410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28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28" x14ac:dyDescent="0.25">
      <c r="A37" s="35" t="s">
        <v>56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28" x14ac:dyDescent="0.25">
      <c r="A38" s="35" t="s">
        <v>57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28" x14ac:dyDescent="0.25">
      <c r="A39" s="37" t="s">
        <v>58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28" x14ac:dyDescent="0.25">
      <c r="A40" s="12" t="s">
        <v>59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28" x14ac:dyDescent="0.25">
      <c r="A41" s="12" t="s">
        <v>60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28" x14ac:dyDescent="0.25">
      <c r="A42" s="12" t="s">
        <v>61</v>
      </c>
    </row>
    <row r="43" spans="1:28" x14ac:dyDescent="0.25">
      <c r="A43" s="35" t="s">
        <v>55</v>
      </c>
    </row>
  </sheetData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35"/>
  <sheetViews>
    <sheetView workbookViewId="0">
      <selection activeCell="F29" sqref="F29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8.81640625" style="25" customWidth="1"/>
    <col min="16" max="28" width="8.81640625" customWidth="1"/>
  </cols>
  <sheetData>
    <row r="1" spans="1:28" ht="20.5" x14ac:dyDescent="0.85">
      <c r="A1" s="55" t="s">
        <v>418</v>
      </c>
    </row>
    <row r="2" spans="1:28" s="25" customFormat="1" ht="5.25" customHeight="1" x14ac:dyDescent="0.25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8" s="25" customFormat="1" ht="21" customHeight="1" x14ac:dyDescent="0.2">
      <c r="A3" s="56" t="s">
        <v>90</v>
      </c>
      <c r="B3" s="18">
        <v>1998</v>
      </c>
      <c r="C3" s="18">
        <v>1999</v>
      </c>
      <c r="D3" s="18">
        <v>2000</v>
      </c>
      <c r="E3" s="18">
        <v>2001</v>
      </c>
      <c r="F3" s="18">
        <v>2002</v>
      </c>
      <c r="G3" s="18">
        <v>2003</v>
      </c>
      <c r="H3" s="18">
        <v>2004</v>
      </c>
      <c r="I3" s="18">
        <v>2005</v>
      </c>
      <c r="J3" s="18">
        <v>2006</v>
      </c>
      <c r="K3" s="18">
        <v>2007</v>
      </c>
      <c r="L3" s="19">
        <v>2008</v>
      </c>
      <c r="M3" s="18">
        <v>2009</v>
      </c>
      <c r="N3" s="19">
        <v>2010</v>
      </c>
      <c r="O3" s="18">
        <v>2011</v>
      </c>
      <c r="P3" s="19">
        <v>2012</v>
      </c>
      <c r="Q3" s="18">
        <v>2013</v>
      </c>
      <c r="R3" s="19">
        <v>2014</v>
      </c>
      <c r="S3" s="18">
        <v>2015</v>
      </c>
      <c r="T3" s="19">
        <v>2016</v>
      </c>
      <c r="U3" s="18">
        <v>2017</v>
      </c>
      <c r="V3" s="19">
        <v>2018</v>
      </c>
      <c r="W3" s="18">
        <v>2019</v>
      </c>
      <c r="X3" s="19">
        <v>2020</v>
      </c>
      <c r="Y3" s="18">
        <v>2021</v>
      </c>
      <c r="Z3" s="19">
        <v>2022</v>
      </c>
      <c r="AA3" s="18">
        <v>2023</v>
      </c>
      <c r="AB3" s="19">
        <v>2024</v>
      </c>
    </row>
    <row r="4" spans="1:28" s="25" customFormat="1" ht="17" x14ac:dyDescent="0.2">
      <c r="A4" s="57" t="s">
        <v>91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28" s="25" customFormat="1" ht="17" x14ac:dyDescent="0.2">
      <c r="A5" s="57" t="s">
        <v>92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28" s="25" customFormat="1" ht="17" x14ac:dyDescent="0.2">
      <c r="A6" s="57" t="s">
        <v>93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28" s="25" customFormat="1" ht="17" x14ac:dyDescent="0.2">
      <c r="A7" s="57" t="s">
        <v>94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28" s="25" customFormat="1" ht="17" x14ac:dyDescent="0.2">
      <c r="A8" s="57" t="s">
        <v>95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28" s="25" customFormat="1" ht="17" x14ac:dyDescent="0.2">
      <c r="A9" s="57" t="s">
        <v>96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28" s="25" customFormat="1" ht="17" x14ac:dyDescent="0.2">
      <c r="A10" s="57" t="s">
        <v>97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28" s="25" customFormat="1" ht="17" x14ac:dyDescent="0.2">
      <c r="A11" s="57" t="s">
        <v>98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8" s="25" customFormat="1" ht="17" x14ac:dyDescent="0.2">
      <c r="A12" s="57" t="s">
        <v>99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8" s="25" customFormat="1" ht="17" x14ac:dyDescent="0.2">
      <c r="A13" s="57" t="s">
        <v>100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28" s="25" customFormat="1" ht="17" x14ac:dyDescent="0.2">
      <c r="A14" s="57" t="s">
        <v>101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28" s="25" customFormat="1" ht="17" x14ac:dyDescent="0.2">
      <c r="A15" s="57" t="s">
        <v>102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28" s="25" customFormat="1" ht="17" x14ac:dyDescent="0.2">
      <c r="A16" s="57" t="s">
        <v>103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s="25" customFormat="1" ht="17" x14ac:dyDescent="0.2">
      <c r="A17" s="57" t="s">
        <v>104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25" customFormat="1" ht="17" x14ac:dyDescent="0.2">
      <c r="A18" s="57" t="s">
        <v>105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s="25" customFormat="1" ht="17" x14ac:dyDescent="0.2">
      <c r="A19" s="57" t="s">
        <v>106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s="25" customFormat="1" ht="17" x14ac:dyDescent="0.2">
      <c r="A20" s="57" t="s">
        <v>107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s="25" customFormat="1" ht="17" x14ac:dyDescent="0.2">
      <c r="A21" s="57" t="s">
        <v>108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s="25" customFormat="1" ht="17" x14ac:dyDescent="0.2">
      <c r="A22" s="57" t="s">
        <v>109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s="25" customFormat="1" ht="17" x14ac:dyDescent="0.2">
      <c r="A23" s="57" t="s">
        <v>110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5" customFormat="1" ht="17" x14ac:dyDescent="0.2">
      <c r="A24" s="57" t="s">
        <v>111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s="25" customFormat="1" ht="17" x14ac:dyDescent="0.2">
      <c r="A25" s="57" t="s">
        <v>112</v>
      </c>
      <c r="B25" s="15"/>
      <c r="C25" s="15"/>
      <c r="D25" s="11"/>
      <c r="E25" s="11"/>
      <c r="F25" s="11"/>
      <c r="G25" s="11"/>
      <c r="H25" s="11"/>
      <c r="I25" s="11"/>
      <c r="J25" s="11"/>
      <c r="K25" s="11"/>
      <c r="L25" s="11"/>
    </row>
    <row r="26" spans="1:12" s="25" customFormat="1" ht="17" x14ac:dyDescent="0.2">
      <c r="A26" s="57" t="s">
        <v>113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s="25" customFormat="1" ht="17" x14ac:dyDescent="0.2">
      <c r="A27" s="57" t="s">
        <v>114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s="25" customFormat="1" ht="17" x14ac:dyDescent="0.2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s="25" customFormat="1" ht="17" x14ac:dyDescent="0.2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62" customFormat="1" ht="17" x14ac:dyDescent="0.25">
      <c r="A30" s="60" t="s">
        <v>83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</row>
    <row r="31" spans="1:12" s="25" customFormat="1" ht="17" x14ac:dyDescent="0.2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s="25" customFormat="1" ht="17" x14ac:dyDescent="0.2">
      <c r="A32" s="58" t="s">
        <v>116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28" s="25" customFormat="1" ht="17" x14ac:dyDescent="0.2">
      <c r="A33" s="58" t="s">
        <v>117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28" s="25" customFormat="1" ht="17" x14ac:dyDescent="0.2">
      <c r="A34" s="59" t="s">
        <v>118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1:28" s="25" customFormat="1" ht="20.5" x14ac:dyDescent="0.2">
      <c r="A35" s="123" t="s">
        <v>410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5"/>
  <sheetViews>
    <sheetView workbookViewId="0">
      <selection activeCell="A35" sqref="A35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8.81640625" style="25" customWidth="1"/>
    <col min="16" max="28" width="8.81640625" customWidth="1"/>
  </cols>
  <sheetData>
    <row r="1" spans="1:28" ht="20.5" x14ac:dyDescent="0.85">
      <c r="A1" s="55" t="s">
        <v>120</v>
      </c>
    </row>
    <row r="2" spans="1:28" s="25" customFormat="1" ht="5.25" customHeight="1" x14ac:dyDescent="0.25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8" s="25" customFormat="1" ht="21" customHeight="1" x14ac:dyDescent="0.2">
      <c r="A3" s="56" t="s">
        <v>90</v>
      </c>
      <c r="B3" s="18">
        <v>1998</v>
      </c>
      <c r="C3" s="18">
        <v>1999</v>
      </c>
      <c r="D3" s="18">
        <v>2000</v>
      </c>
      <c r="E3" s="18">
        <v>2001</v>
      </c>
      <c r="F3" s="18">
        <v>2002</v>
      </c>
      <c r="G3" s="18">
        <v>2003</v>
      </c>
      <c r="H3" s="18">
        <v>2004</v>
      </c>
      <c r="I3" s="18">
        <v>2005</v>
      </c>
      <c r="J3" s="18">
        <v>2006</v>
      </c>
      <c r="K3" s="18">
        <v>2007</v>
      </c>
      <c r="L3" s="19">
        <v>2008</v>
      </c>
      <c r="M3" s="18">
        <v>2009</v>
      </c>
      <c r="N3" s="19">
        <v>2010</v>
      </c>
      <c r="O3" s="18">
        <v>2011</v>
      </c>
      <c r="P3" s="19">
        <v>2012</v>
      </c>
      <c r="Q3" s="18">
        <v>2013</v>
      </c>
      <c r="R3" s="19">
        <v>2014</v>
      </c>
      <c r="S3" s="18">
        <v>2015</v>
      </c>
      <c r="T3" s="19">
        <v>2016</v>
      </c>
      <c r="U3" s="18">
        <v>2017</v>
      </c>
      <c r="V3" s="19">
        <v>2018</v>
      </c>
      <c r="W3" s="18">
        <v>2019</v>
      </c>
      <c r="X3" s="19">
        <v>2020</v>
      </c>
      <c r="Y3" s="18">
        <v>2021</v>
      </c>
      <c r="Z3" s="19">
        <v>2022</v>
      </c>
      <c r="AA3" s="18">
        <v>2023</v>
      </c>
      <c r="AB3" s="19">
        <v>2024</v>
      </c>
    </row>
    <row r="4" spans="1:28" s="25" customFormat="1" ht="17" x14ac:dyDescent="0.2">
      <c r="A4" s="57" t="s">
        <v>91</v>
      </c>
      <c r="B4" s="11">
        <v>314</v>
      </c>
      <c r="C4" s="11">
        <v>336</v>
      </c>
      <c r="D4" s="11">
        <v>321</v>
      </c>
      <c r="E4" s="11">
        <v>347</v>
      </c>
      <c r="F4" s="11">
        <v>366</v>
      </c>
      <c r="G4" s="11">
        <v>371</v>
      </c>
      <c r="H4" s="11">
        <v>377</v>
      </c>
      <c r="I4" s="11">
        <v>388</v>
      </c>
      <c r="J4" s="11">
        <v>389</v>
      </c>
      <c r="K4" s="11">
        <v>394</v>
      </c>
      <c r="L4" s="11">
        <v>394</v>
      </c>
    </row>
    <row r="5" spans="1:28" s="25" customFormat="1" ht="17" x14ac:dyDescent="0.2">
      <c r="A5" s="57" t="s">
        <v>92</v>
      </c>
      <c r="B5" s="11">
        <v>316</v>
      </c>
      <c r="C5" s="11">
        <v>342</v>
      </c>
      <c r="D5" s="11">
        <v>378</v>
      </c>
      <c r="E5" s="11">
        <v>408</v>
      </c>
      <c r="F5" s="11">
        <v>452</v>
      </c>
      <c r="G5" s="11">
        <v>477</v>
      </c>
      <c r="H5" s="11">
        <v>496</v>
      </c>
      <c r="I5" s="11">
        <v>509</v>
      </c>
      <c r="J5" s="11">
        <v>514</v>
      </c>
      <c r="K5" s="11">
        <v>521</v>
      </c>
      <c r="L5" s="11">
        <v>543</v>
      </c>
    </row>
    <row r="6" spans="1:28" s="25" customFormat="1" ht="17" x14ac:dyDescent="0.2">
      <c r="A6" s="57" t="s">
        <v>93</v>
      </c>
      <c r="B6" s="11">
        <v>693</v>
      </c>
      <c r="C6" s="11">
        <v>710</v>
      </c>
      <c r="D6" s="11">
        <v>711</v>
      </c>
      <c r="E6" s="11">
        <v>725</v>
      </c>
      <c r="F6" s="11">
        <v>739</v>
      </c>
      <c r="G6" s="11">
        <v>747</v>
      </c>
      <c r="H6" s="11">
        <v>746</v>
      </c>
      <c r="I6" s="11">
        <v>744</v>
      </c>
      <c r="J6" s="11">
        <v>753</v>
      </c>
      <c r="K6" s="11">
        <v>767</v>
      </c>
      <c r="L6" s="11">
        <v>774</v>
      </c>
    </row>
    <row r="7" spans="1:28" s="25" customFormat="1" ht="17" x14ac:dyDescent="0.2">
      <c r="A7" s="57" t="s">
        <v>94</v>
      </c>
      <c r="B7" s="11">
        <v>203</v>
      </c>
      <c r="C7" s="11">
        <v>206</v>
      </c>
      <c r="D7" s="11">
        <v>209</v>
      </c>
      <c r="E7" s="11">
        <v>210</v>
      </c>
      <c r="F7" s="11">
        <v>217</v>
      </c>
      <c r="G7" s="11">
        <v>222</v>
      </c>
      <c r="H7" s="11">
        <v>224</v>
      </c>
      <c r="I7" s="11">
        <v>238</v>
      </c>
      <c r="J7" s="11">
        <v>246</v>
      </c>
      <c r="K7" s="11">
        <v>248</v>
      </c>
      <c r="L7" s="11">
        <v>252</v>
      </c>
    </row>
    <row r="8" spans="1:28" s="25" customFormat="1" ht="17" x14ac:dyDescent="0.2">
      <c r="A8" s="57" t="s">
        <v>95</v>
      </c>
      <c r="B8" s="11">
        <v>234</v>
      </c>
      <c r="C8" s="11">
        <v>237</v>
      </c>
      <c r="D8" s="11">
        <v>242</v>
      </c>
      <c r="E8" s="11">
        <v>251</v>
      </c>
      <c r="F8" s="11">
        <v>255</v>
      </c>
      <c r="G8" s="11">
        <v>263</v>
      </c>
      <c r="H8" s="11">
        <v>270</v>
      </c>
      <c r="I8" s="11">
        <v>280</v>
      </c>
      <c r="J8" s="11">
        <v>285</v>
      </c>
      <c r="K8" s="11">
        <v>290</v>
      </c>
      <c r="L8" s="11">
        <v>302</v>
      </c>
    </row>
    <row r="9" spans="1:28" s="25" customFormat="1" ht="17" x14ac:dyDescent="0.2">
      <c r="A9" s="57" t="s">
        <v>96</v>
      </c>
      <c r="B9" s="11">
        <v>391</v>
      </c>
      <c r="C9" s="11">
        <v>393</v>
      </c>
      <c r="D9" s="11">
        <v>392</v>
      </c>
      <c r="E9" s="11">
        <v>395</v>
      </c>
      <c r="F9" s="11">
        <v>399</v>
      </c>
      <c r="G9" s="11">
        <v>405</v>
      </c>
      <c r="H9" s="11">
        <v>413</v>
      </c>
      <c r="I9" s="11">
        <v>416</v>
      </c>
      <c r="J9" s="11">
        <v>419</v>
      </c>
      <c r="K9" s="11">
        <v>423</v>
      </c>
      <c r="L9" s="11">
        <v>435</v>
      </c>
    </row>
    <row r="10" spans="1:28" s="25" customFormat="1" ht="17" x14ac:dyDescent="0.2">
      <c r="A10" s="57" t="s">
        <v>97</v>
      </c>
      <c r="B10" s="11">
        <v>236</v>
      </c>
      <c r="C10" s="11">
        <v>244</v>
      </c>
      <c r="D10" s="11">
        <v>246</v>
      </c>
      <c r="E10" s="11">
        <v>248</v>
      </c>
      <c r="F10" s="11">
        <v>255</v>
      </c>
      <c r="G10" s="11">
        <v>268</v>
      </c>
      <c r="H10" s="11">
        <v>274</v>
      </c>
      <c r="I10" s="11">
        <v>281</v>
      </c>
      <c r="J10" s="11">
        <v>287</v>
      </c>
      <c r="K10" s="11">
        <v>289</v>
      </c>
      <c r="L10" s="11">
        <v>292</v>
      </c>
    </row>
    <row r="11" spans="1:28" s="25" customFormat="1" ht="17" x14ac:dyDescent="0.2">
      <c r="A11" s="57" t="s">
        <v>98</v>
      </c>
      <c r="B11" s="11">
        <v>388</v>
      </c>
      <c r="C11" s="11">
        <v>391</v>
      </c>
      <c r="D11" s="11">
        <v>393</v>
      </c>
      <c r="E11" s="11">
        <v>400</v>
      </c>
      <c r="F11" s="11">
        <v>404</v>
      </c>
      <c r="G11" s="11">
        <v>408</v>
      </c>
      <c r="H11" s="11">
        <v>414</v>
      </c>
      <c r="I11" s="11">
        <v>417</v>
      </c>
      <c r="J11" s="11">
        <v>418</v>
      </c>
      <c r="K11" s="11">
        <v>417</v>
      </c>
      <c r="L11" s="11">
        <v>418</v>
      </c>
    </row>
    <row r="12" spans="1:28" s="25" customFormat="1" ht="17" x14ac:dyDescent="0.2">
      <c r="A12" s="57" t="s">
        <v>99</v>
      </c>
      <c r="B12" s="11">
        <v>62</v>
      </c>
      <c r="C12" s="11">
        <v>63</v>
      </c>
      <c r="D12" s="11">
        <v>67</v>
      </c>
      <c r="E12" s="11">
        <v>68</v>
      </c>
      <c r="F12" s="11">
        <v>72</v>
      </c>
      <c r="G12" s="11">
        <v>89</v>
      </c>
      <c r="H12" s="11">
        <v>93</v>
      </c>
      <c r="I12" s="11">
        <v>88</v>
      </c>
      <c r="J12" s="11">
        <v>89</v>
      </c>
      <c r="K12" s="11">
        <v>89</v>
      </c>
      <c r="L12" s="11">
        <v>90</v>
      </c>
    </row>
    <row r="13" spans="1:28" s="25" customFormat="1" ht="17" x14ac:dyDescent="0.2">
      <c r="A13" s="57" t="s">
        <v>100</v>
      </c>
      <c r="B13" s="11">
        <v>189</v>
      </c>
      <c r="C13" s="11">
        <v>188</v>
      </c>
      <c r="D13" s="11">
        <v>189</v>
      </c>
      <c r="E13" s="11">
        <v>188</v>
      </c>
      <c r="F13" s="11">
        <v>195</v>
      </c>
      <c r="G13" s="11">
        <v>202</v>
      </c>
      <c r="H13" s="11">
        <v>212</v>
      </c>
      <c r="I13" s="11">
        <v>214</v>
      </c>
      <c r="J13" s="11">
        <v>219</v>
      </c>
      <c r="K13" s="11">
        <v>223</v>
      </c>
      <c r="L13" s="11">
        <v>229</v>
      </c>
    </row>
    <row r="14" spans="1:28" s="25" customFormat="1" ht="17" x14ac:dyDescent="0.2">
      <c r="A14" s="57" t="s">
        <v>101</v>
      </c>
      <c r="B14" s="11">
        <v>27</v>
      </c>
      <c r="C14" s="11">
        <v>30</v>
      </c>
      <c r="D14" s="11">
        <v>30</v>
      </c>
      <c r="E14" s="11">
        <v>28</v>
      </c>
      <c r="F14" s="11">
        <v>42</v>
      </c>
      <c r="G14" s="11">
        <v>48</v>
      </c>
      <c r="H14" s="11">
        <v>58</v>
      </c>
      <c r="I14" s="11">
        <v>61</v>
      </c>
      <c r="J14" s="11">
        <v>66</v>
      </c>
      <c r="K14" s="11">
        <v>68</v>
      </c>
      <c r="L14" s="11">
        <v>71</v>
      </c>
    </row>
    <row r="15" spans="1:28" s="25" customFormat="1" ht="17" x14ac:dyDescent="0.2">
      <c r="A15" s="57" t="s">
        <v>102</v>
      </c>
      <c r="B15" s="11">
        <v>107</v>
      </c>
      <c r="C15" s="11">
        <v>108</v>
      </c>
      <c r="D15" s="11">
        <v>105</v>
      </c>
      <c r="E15" s="11">
        <v>105</v>
      </c>
      <c r="F15" s="11">
        <v>111</v>
      </c>
      <c r="G15" s="11">
        <v>111</v>
      </c>
      <c r="H15" s="11">
        <v>113</v>
      </c>
      <c r="I15" s="11">
        <v>112</v>
      </c>
      <c r="J15" s="11">
        <v>113</v>
      </c>
      <c r="K15" s="11">
        <v>114</v>
      </c>
      <c r="L15" s="11">
        <v>114</v>
      </c>
    </row>
    <row r="16" spans="1:28" s="25" customFormat="1" ht="17" x14ac:dyDescent="0.2">
      <c r="A16" s="57" t="s">
        <v>103</v>
      </c>
      <c r="B16" s="11">
        <v>95</v>
      </c>
      <c r="C16" s="11">
        <v>99</v>
      </c>
      <c r="D16" s="11">
        <v>103</v>
      </c>
      <c r="E16" s="11">
        <v>106</v>
      </c>
      <c r="F16" s="11">
        <v>123</v>
      </c>
      <c r="G16" s="11">
        <v>125</v>
      </c>
      <c r="H16" s="11">
        <v>148</v>
      </c>
      <c r="I16" s="11">
        <v>154</v>
      </c>
      <c r="J16" s="11">
        <v>158</v>
      </c>
      <c r="K16" s="11">
        <v>166</v>
      </c>
      <c r="L16" s="11">
        <v>169</v>
      </c>
    </row>
    <row r="17" spans="1:12" s="25" customFormat="1" ht="17" x14ac:dyDescent="0.2">
      <c r="A17" s="57" t="s">
        <v>104</v>
      </c>
      <c r="B17" s="11">
        <v>462</v>
      </c>
      <c r="C17" s="11">
        <v>464</v>
      </c>
      <c r="D17" s="11">
        <v>467</v>
      </c>
      <c r="E17" s="11">
        <v>470</v>
      </c>
      <c r="F17" s="11">
        <v>471</v>
      </c>
      <c r="G17" s="11">
        <v>485</v>
      </c>
      <c r="H17" s="11">
        <v>492</v>
      </c>
      <c r="I17" s="11">
        <v>503</v>
      </c>
      <c r="J17" s="11">
        <v>509</v>
      </c>
      <c r="K17" s="11">
        <v>512</v>
      </c>
      <c r="L17" s="11">
        <v>517</v>
      </c>
    </row>
    <row r="18" spans="1:12" s="25" customFormat="1" ht="17" x14ac:dyDescent="0.2">
      <c r="A18" s="57" t="s">
        <v>105</v>
      </c>
      <c r="B18" s="11">
        <v>181</v>
      </c>
      <c r="C18" s="11">
        <v>186</v>
      </c>
      <c r="D18" s="11">
        <v>195</v>
      </c>
      <c r="E18" s="11">
        <v>217</v>
      </c>
      <c r="F18" s="11">
        <v>222</v>
      </c>
      <c r="G18" s="11">
        <v>230</v>
      </c>
      <c r="H18" s="11">
        <v>232</v>
      </c>
      <c r="I18" s="11">
        <v>238</v>
      </c>
      <c r="J18" s="11">
        <v>242</v>
      </c>
      <c r="K18" s="11">
        <v>253</v>
      </c>
      <c r="L18" s="11">
        <v>254</v>
      </c>
    </row>
    <row r="19" spans="1:12" s="25" customFormat="1" ht="17" x14ac:dyDescent="0.2">
      <c r="A19" s="57" t="s">
        <v>106</v>
      </c>
      <c r="B19" s="11">
        <v>77</v>
      </c>
      <c r="C19" s="11">
        <v>76</v>
      </c>
      <c r="D19" s="11">
        <v>81</v>
      </c>
      <c r="E19" s="11">
        <v>83</v>
      </c>
      <c r="F19" s="11">
        <v>103</v>
      </c>
      <c r="G19" s="11">
        <v>117</v>
      </c>
      <c r="H19" s="11">
        <v>122</v>
      </c>
      <c r="I19" s="11">
        <v>126</v>
      </c>
      <c r="J19" s="11">
        <v>139</v>
      </c>
      <c r="K19" s="11">
        <v>144</v>
      </c>
      <c r="L19" s="11">
        <v>148</v>
      </c>
    </row>
    <row r="20" spans="1:12" s="25" customFormat="1" ht="17" x14ac:dyDescent="0.2">
      <c r="A20" s="57" t="s">
        <v>107</v>
      </c>
      <c r="B20" s="11">
        <v>339</v>
      </c>
      <c r="C20" s="11">
        <v>354</v>
      </c>
      <c r="D20" s="11">
        <v>341</v>
      </c>
      <c r="E20" s="11">
        <v>355</v>
      </c>
      <c r="F20" s="11">
        <v>403</v>
      </c>
      <c r="G20" s="11">
        <v>417</v>
      </c>
      <c r="H20" s="11">
        <v>423</v>
      </c>
      <c r="I20" s="11">
        <v>428</v>
      </c>
      <c r="J20" s="11">
        <v>436</v>
      </c>
      <c r="K20" s="11">
        <v>442</v>
      </c>
      <c r="L20" s="11">
        <v>452</v>
      </c>
    </row>
    <row r="21" spans="1:12" s="25" customFormat="1" ht="17" x14ac:dyDescent="0.2">
      <c r="A21" s="57" t="s">
        <v>108</v>
      </c>
      <c r="B21" s="11">
        <v>41</v>
      </c>
      <c r="C21" s="11">
        <v>40</v>
      </c>
      <c r="D21" s="11">
        <v>41</v>
      </c>
      <c r="E21" s="11">
        <v>42</v>
      </c>
      <c r="F21" s="11">
        <v>52</v>
      </c>
      <c r="G21" s="11">
        <v>52</v>
      </c>
      <c r="H21" s="11">
        <v>52</v>
      </c>
      <c r="I21" s="11">
        <v>53</v>
      </c>
      <c r="J21" s="11">
        <v>53</v>
      </c>
      <c r="K21" s="11">
        <v>53</v>
      </c>
      <c r="L21" s="11">
        <v>53</v>
      </c>
    </row>
    <row r="22" spans="1:12" s="25" customFormat="1" ht="17" x14ac:dyDescent="0.2">
      <c r="A22" s="57" t="s">
        <v>109</v>
      </c>
      <c r="B22" s="11">
        <v>88</v>
      </c>
      <c r="C22" s="11">
        <v>86</v>
      </c>
      <c r="D22" s="11">
        <v>95</v>
      </c>
      <c r="E22" s="11">
        <v>111</v>
      </c>
      <c r="F22" s="11">
        <v>119</v>
      </c>
      <c r="G22" s="11">
        <v>120</v>
      </c>
      <c r="H22" s="11">
        <v>120</v>
      </c>
      <c r="I22" s="11">
        <v>125</v>
      </c>
      <c r="J22" s="11">
        <v>125</v>
      </c>
      <c r="K22" s="11">
        <v>125</v>
      </c>
      <c r="L22" s="11">
        <v>125</v>
      </c>
    </row>
    <row r="23" spans="1:12" s="25" customFormat="1" ht="17" x14ac:dyDescent="0.2">
      <c r="A23" s="57" t="s">
        <v>110</v>
      </c>
      <c r="B23" s="11">
        <v>233</v>
      </c>
      <c r="C23" s="11">
        <v>236</v>
      </c>
      <c r="D23" s="11">
        <v>238</v>
      </c>
      <c r="E23" s="11">
        <v>238</v>
      </c>
      <c r="F23" s="11">
        <v>239</v>
      </c>
      <c r="G23" s="11">
        <v>242</v>
      </c>
      <c r="H23" s="11">
        <v>243</v>
      </c>
      <c r="I23" s="11">
        <v>249</v>
      </c>
      <c r="J23" s="11">
        <v>252</v>
      </c>
      <c r="K23" s="11">
        <v>252</v>
      </c>
      <c r="L23" s="11">
        <v>255</v>
      </c>
    </row>
    <row r="24" spans="1:12" s="25" customFormat="1" ht="17" x14ac:dyDescent="0.2">
      <c r="A24" s="57" t="s">
        <v>111</v>
      </c>
      <c r="B24" s="11">
        <v>329</v>
      </c>
      <c r="C24" s="11">
        <v>342</v>
      </c>
      <c r="D24" s="11">
        <v>345</v>
      </c>
      <c r="E24" s="11">
        <v>348</v>
      </c>
      <c r="F24" s="11">
        <v>349</v>
      </c>
      <c r="G24" s="11">
        <v>356</v>
      </c>
      <c r="H24" s="11">
        <v>360</v>
      </c>
      <c r="I24" s="11">
        <v>369</v>
      </c>
      <c r="J24" s="11">
        <v>369</v>
      </c>
      <c r="K24" s="11">
        <v>369</v>
      </c>
      <c r="L24" s="11">
        <v>369</v>
      </c>
    </row>
    <row r="25" spans="1:12" s="25" customFormat="1" ht="17" x14ac:dyDescent="0.2">
      <c r="A25" s="57" t="s">
        <v>112</v>
      </c>
      <c r="B25" s="15" t="s">
        <v>21</v>
      </c>
      <c r="C25" s="15" t="s">
        <v>21</v>
      </c>
      <c r="D25" s="11">
        <v>58</v>
      </c>
      <c r="E25" s="11">
        <v>94</v>
      </c>
      <c r="F25" s="11">
        <v>111</v>
      </c>
      <c r="G25" s="11">
        <v>115</v>
      </c>
      <c r="H25" s="11">
        <v>134</v>
      </c>
      <c r="I25" s="11">
        <v>138</v>
      </c>
      <c r="J25" s="11">
        <v>140</v>
      </c>
      <c r="K25" s="11">
        <v>147</v>
      </c>
      <c r="L25" s="11">
        <v>155</v>
      </c>
    </row>
    <row r="26" spans="1:12" s="25" customFormat="1" ht="17" x14ac:dyDescent="0.2">
      <c r="A26" s="57" t="s">
        <v>113</v>
      </c>
      <c r="B26" s="11">
        <v>14</v>
      </c>
      <c r="C26" s="11">
        <v>15</v>
      </c>
      <c r="D26" s="11">
        <v>15</v>
      </c>
      <c r="E26" s="11">
        <v>18</v>
      </c>
      <c r="F26" s="11">
        <v>18</v>
      </c>
      <c r="G26" s="11">
        <v>18</v>
      </c>
      <c r="H26" s="11">
        <v>20</v>
      </c>
      <c r="I26" s="11">
        <v>21</v>
      </c>
      <c r="J26" s="11">
        <v>21</v>
      </c>
      <c r="K26" s="11">
        <v>21</v>
      </c>
      <c r="L26" s="11">
        <v>21</v>
      </c>
    </row>
    <row r="27" spans="1:12" s="25" customFormat="1" ht="17" x14ac:dyDescent="0.2">
      <c r="A27" s="57" t="s">
        <v>114</v>
      </c>
      <c r="B27" s="11">
        <v>7</v>
      </c>
      <c r="C27" s="11">
        <v>10</v>
      </c>
      <c r="D27" s="11">
        <v>12</v>
      </c>
      <c r="E27" s="11">
        <v>13</v>
      </c>
      <c r="F27" s="11">
        <v>24</v>
      </c>
      <c r="G27" s="11">
        <v>27</v>
      </c>
      <c r="H27" s="11">
        <v>27</v>
      </c>
      <c r="I27" s="11">
        <v>28</v>
      </c>
      <c r="J27" s="11">
        <v>35</v>
      </c>
      <c r="K27" s="11">
        <v>38</v>
      </c>
      <c r="L27" s="11">
        <v>44</v>
      </c>
    </row>
    <row r="28" spans="1:12" s="25" customFormat="1" ht="17" x14ac:dyDescent="0.2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s="25" customFormat="1" ht="17" x14ac:dyDescent="0.2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62" customFormat="1" ht="17" x14ac:dyDescent="0.25">
      <c r="A30" s="60" t="s">
        <v>83</v>
      </c>
      <c r="B30" s="61">
        <v>5026</v>
      </c>
      <c r="C30" s="61">
        <v>5156</v>
      </c>
      <c r="D30" s="61">
        <v>5274</v>
      </c>
      <c r="E30" s="61">
        <v>5468</v>
      </c>
      <c r="F30" s="61">
        <v>5741</v>
      </c>
      <c r="G30" s="61">
        <v>5915</v>
      </c>
      <c r="H30" s="61">
        <v>6063</v>
      </c>
      <c r="I30" s="61">
        <v>6180</v>
      </c>
      <c r="J30" s="61">
        <v>6277</v>
      </c>
      <c r="K30" s="61">
        <v>6365</v>
      </c>
      <c r="L30" s="61">
        <v>6476</v>
      </c>
    </row>
    <row r="31" spans="1:12" s="25" customFormat="1" ht="17" x14ac:dyDescent="0.2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s="25" customFormat="1" ht="17" x14ac:dyDescent="0.2">
      <c r="A32" s="58" t="s">
        <v>116</v>
      </c>
      <c r="B32" s="11">
        <v>710</v>
      </c>
      <c r="C32" s="11">
        <v>723</v>
      </c>
      <c r="D32" s="11">
        <v>556</v>
      </c>
      <c r="E32" s="11">
        <v>569</v>
      </c>
      <c r="F32" s="11">
        <v>609</v>
      </c>
      <c r="G32" s="11">
        <v>626</v>
      </c>
      <c r="H32" s="11">
        <v>637</v>
      </c>
      <c r="I32" s="11">
        <v>645</v>
      </c>
      <c r="J32" s="11">
        <v>663</v>
      </c>
      <c r="K32" s="11">
        <v>673</v>
      </c>
      <c r="L32" s="11">
        <v>684</v>
      </c>
    </row>
    <row r="33" spans="1:28" s="25" customFormat="1" ht="17" x14ac:dyDescent="0.2">
      <c r="A33" s="58" t="s">
        <v>117</v>
      </c>
      <c r="B33" s="11">
        <v>3667</v>
      </c>
      <c r="C33" s="11">
        <v>3706</v>
      </c>
      <c r="D33" s="11">
        <v>4447</v>
      </c>
      <c r="E33" s="11">
        <v>4581</v>
      </c>
      <c r="F33" s="11">
        <v>4741</v>
      </c>
      <c r="G33" s="11">
        <v>4857</v>
      </c>
      <c r="H33" s="11">
        <v>4953</v>
      </c>
      <c r="I33" s="11">
        <v>5043</v>
      </c>
      <c r="J33" s="11">
        <v>5101</v>
      </c>
      <c r="K33" s="11">
        <v>5179</v>
      </c>
      <c r="L33" s="11">
        <v>5261</v>
      </c>
    </row>
    <row r="34" spans="1:28" s="25" customFormat="1" ht="17" x14ac:dyDescent="0.2">
      <c r="A34" s="59" t="s">
        <v>118</v>
      </c>
      <c r="B34" s="13">
        <v>649</v>
      </c>
      <c r="C34" s="13">
        <v>727</v>
      </c>
      <c r="D34" s="13">
        <v>271</v>
      </c>
      <c r="E34" s="13">
        <v>318</v>
      </c>
      <c r="F34" s="13">
        <v>391</v>
      </c>
      <c r="G34" s="13">
        <v>432</v>
      </c>
      <c r="H34" s="13">
        <v>473</v>
      </c>
      <c r="I34" s="13">
        <v>492</v>
      </c>
      <c r="J34" s="13">
        <v>513</v>
      </c>
      <c r="K34" s="13">
        <v>513</v>
      </c>
      <c r="L34" s="13">
        <v>531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1:28" s="25" customFormat="1" ht="20.5" x14ac:dyDescent="0.2">
      <c r="A35" s="123" t="s">
        <v>410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5"/>
  <sheetViews>
    <sheetView workbookViewId="0">
      <selection activeCell="A35" sqref="A35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8" style="25" customWidth="1"/>
    <col min="16" max="28" width="8" customWidth="1"/>
  </cols>
  <sheetData>
    <row r="1" spans="1:28" ht="20.5" x14ac:dyDescent="0.85">
      <c r="A1" s="55" t="s">
        <v>121</v>
      </c>
    </row>
    <row r="2" spans="1:28" s="25" customFormat="1" ht="6" customHeight="1" x14ac:dyDescent="0.25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8" s="25" customFormat="1" ht="24.75" customHeight="1" x14ac:dyDescent="0.2">
      <c r="A3" s="56" t="s">
        <v>90</v>
      </c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  <c r="U3" s="14">
        <v>2017</v>
      </c>
      <c r="V3" s="14">
        <v>2018</v>
      </c>
      <c r="W3" s="14">
        <v>2019</v>
      </c>
      <c r="X3" s="14">
        <v>2020</v>
      </c>
      <c r="Y3" s="14">
        <v>2021</v>
      </c>
      <c r="Z3" s="14">
        <v>2022</v>
      </c>
      <c r="AA3" s="14">
        <v>2023</v>
      </c>
      <c r="AB3" s="14">
        <v>2024</v>
      </c>
    </row>
    <row r="4" spans="1:28" s="25" customFormat="1" ht="17" x14ac:dyDescent="0.2">
      <c r="A4" s="57" t="s">
        <v>91</v>
      </c>
      <c r="B4" s="11">
        <v>20</v>
      </c>
      <c r="C4" s="11">
        <v>22</v>
      </c>
      <c r="D4" s="11">
        <v>21</v>
      </c>
      <c r="E4" s="11">
        <v>22</v>
      </c>
      <c r="F4" s="11">
        <v>22</v>
      </c>
      <c r="G4" s="11">
        <v>33</v>
      </c>
      <c r="H4" s="11">
        <v>38</v>
      </c>
      <c r="I4" s="11">
        <v>58</v>
      </c>
      <c r="J4" s="11">
        <v>65</v>
      </c>
      <c r="K4" s="11">
        <v>76</v>
      </c>
      <c r="L4" s="11">
        <v>77</v>
      </c>
    </row>
    <row r="5" spans="1:28" s="25" customFormat="1" ht="17" x14ac:dyDescent="0.2">
      <c r="A5" s="57" t="s">
        <v>92</v>
      </c>
      <c r="B5" s="11">
        <v>40</v>
      </c>
      <c r="C5" s="11">
        <v>40</v>
      </c>
      <c r="D5" s="11">
        <v>40</v>
      </c>
      <c r="E5" s="11">
        <v>41</v>
      </c>
      <c r="F5" s="11">
        <v>47</v>
      </c>
      <c r="G5" s="11">
        <v>51</v>
      </c>
      <c r="H5" s="11">
        <v>58</v>
      </c>
      <c r="I5" s="11">
        <v>68</v>
      </c>
      <c r="J5" s="11">
        <v>69</v>
      </c>
      <c r="K5" s="11">
        <v>82</v>
      </c>
      <c r="L5" s="11">
        <v>98</v>
      </c>
    </row>
    <row r="6" spans="1:28" s="25" customFormat="1" ht="17" x14ac:dyDescent="0.2">
      <c r="A6" s="57" t="s">
        <v>93</v>
      </c>
      <c r="B6" s="11">
        <v>52</v>
      </c>
      <c r="C6" s="11">
        <v>54</v>
      </c>
      <c r="D6" s="11">
        <v>57</v>
      </c>
      <c r="E6" s="11">
        <v>58</v>
      </c>
      <c r="F6" s="11">
        <v>59</v>
      </c>
      <c r="G6" s="11">
        <v>59</v>
      </c>
      <c r="H6" s="11">
        <v>64</v>
      </c>
      <c r="I6" s="11">
        <v>72</v>
      </c>
      <c r="J6" s="11">
        <v>79</v>
      </c>
      <c r="K6" s="11">
        <v>113</v>
      </c>
      <c r="L6" s="11">
        <v>122</v>
      </c>
    </row>
    <row r="7" spans="1:28" s="25" customFormat="1" ht="17" x14ac:dyDescent="0.2">
      <c r="A7" s="57" t="s">
        <v>94</v>
      </c>
      <c r="B7" s="11">
        <v>12</v>
      </c>
      <c r="C7" s="11">
        <v>12</v>
      </c>
      <c r="D7" s="11">
        <v>12</v>
      </c>
      <c r="E7" s="11">
        <v>12</v>
      </c>
      <c r="F7" s="11">
        <v>14</v>
      </c>
      <c r="G7" s="11">
        <v>20</v>
      </c>
      <c r="H7" s="11">
        <v>26</v>
      </c>
      <c r="I7" s="11">
        <v>30</v>
      </c>
      <c r="J7" s="11">
        <v>32</v>
      </c>
      <c r="K7" s="11">
        <v>41</v>
      </c>
      <c r="L7" s="11">
        <v>57</v>
      </c>
    </row>
    <row r="8" spans="1:28" s="25" customFormat="1" ht="17" x14ac:dyDescent="0.2">
      <c r="A8" s="57" t="s">
        <v>95</v>
      </c>
      <c r="B8" s="11">
        <v>31</v>
      </c>
      <c r="C8" s="11">
        <v>30</v>
      </c>
      <c r="D8" s="11">
        <v>31</v>
      </c>
      <c r="E8" s="11">
        <v>32</v>
      </c>
      <c r="F8" s="11">
        <v>35</v>
      </c>
      <c r="G8" s="11">
        <v>37</v>
      </c>
      <c r="H8" s="11">
        <v>38</v>
      </c>
      <c r="I8" s="11">
        <v>42</v>
      </c>
      <c r="J8" s="11">
        <v>44</v>
      </c>
      <c r="K8" s="11">
        <v>53</v>
      </c>
      <c r="L8" s="11">
        <v>72</v>
      </c>
    </row>
    <row r="9" spans="1:28" s="25" customFormat="1" ht="17" x14ac:dyDescent="0.2">
      <c r="A9" s="57" t="s">
        <v>96</v>
      </c>
      <c r="B9" s="11">
        <v>18</v>
      </c>
      <c r="C9" s="11">
        <v>18</v>
      </c>
      <c r="D9" s="11">
        <v>19</v>
      </c>
      <c r="E9" s="11">
        <v>21</v>
      </c>
      <c r="F9" s="11">
        <v>26</v>
      </c>
      <c r="G9" s="11">
        <v>30</v>
      </c>
      <c r="H9" s="11">
        <v>50</v>
      </c>
      <c r="I9" s="11">
        <v>58</v>
      </c>
      <c r="J9" s="11">
        <v>73</v>
      </c>
      <c r="K9" s="11">
        <v>83</v>
      </c>
      <c r="L9" s="11">
        <v>83</v>
      </c>
    </row>
    <row r="10" spans="1:28" s="25" customFormat="1" ht="17" x14ac:dyDescent="0.2">
      <c r="A10" s="57" t="s">
        <v>97</v>
      </c>
      <c r="B10" s="11">
        <v>23</v>
      </c>
      <c r="C10" s="11">
        <v>24</v>
      </c>
      <c r="D10" s="11">
        <v>25</v>
      </c>
      <c r="E10" s="11">
        <v>29</v>
      </c>
      <c r="F10" s="11">
        <v>30</v>
      </c>
      <c r="G10" s="11">
        <v>36</v>
      </c>
      <c r="H10" s="11">
        <v>44</v>
      </c>
      <c r="I10" s="11">
        <v>44</v>
      </c>
      <c r="J10" s="11">
        <v>51</v>
      </c>
      <c r="K10" s="11">
        <v>62</v>
      </c>
      <c r="L10" s="11">
        <v>79</v>
      </c>
    </row>
    <row r="11" spans="1:28" s="25" customFormat="1" ht="17" x14ac:dyDescent="0.2">
      <c r="A11" s="57" t="s">
        <v>98</v>
      </c>
      <c r="B11" s="11">
        <v>58</v>
      </c>
      <c r="C11" s="11">
        <v>58</v>
      </c>
      <c r="D11" s="11">
        <v>58</v>
      </c>
      <c r="E11" s="11">
        <v>58</v>
      </c>
      <c r="F11" s="11">
        <v>59</v>
      </c>
      <c r="G11" s="11">
        <v>59</v>
      </c>
      <c r="H11" s="11">
        <v>61</v>
      </c>
      <c r="I11" s="11">
        <v>87</v>
      </c>
      <c r="J11" s="11">
        <v>103</v>
      </c>
      <c r="K11" s="11">
        <v>121</v>
      </c>
      <c r="L11" s="11">
        <v>130</v>
      </c>
    </row>
    <row r="12" spans="1:28" s="25" customFormat="1" ht="17" x14ac:dyDescent="0.2">
      <c r="A12" s="57" t="s">
        <v>99</v>
      </c>
      <c r="B12" s="11">
        <v>2</v>
      </c>
      <c r="C12" s="11">
        <v>3</v>
      </c>
      <c r="D12" s="11">
        <v>3</v>
      </c>
      <c r="E12" s="11">
        <v>3</v>
      </c>
      <c r="F12" s="11">
        <v>4</v>
      </c>
      <c r="G12" s="11">
        <v>6</v>
      </c>
      <c r="H12" s="11">
        <v>11</v>
      </c>
      <c r="I12" s="11">
        <v>12</v>
      </c>
      <c r="J12" s="11">
        <v>17</v>
      </c>
      <c r="K12" s="11">
        <v>22</v>
      </c>
      <c r="L12" s="11">
        <v>28</v>
      </c>
    </row>
    <row r="13" spans="1:28" s="25" customFormat="1" ht="17" x14ac:dyDescent="0.2">
      <c r="A13" s="57" t="s">
        <v>100</v>
      </c>
      <c r="B13" s="11">
        <v>14</v>
      </c>
      <c r="C13" s="11">
        <v>14</v>
      </c>
      <c r="D13" s="11">
        <v>14</v>
      </c>
      <c r="E13" s="11">
        <v>15</v>
      </c>
      <c r="F13" s="11">
        <v>16</v>
      </c>
      <c r="G13" s="11">
        <v>16</v>
      </c>
      <c r="H13" s="11">
        <v>28</v>
      </c>
      <c r="I13" s="11">
        <v>28</v>
      </c>
      <c r="J13" s="11">
        <v>31</v>
      </c>
      <c r="K13" s="11">
        <v>42</v>
      </c>
      <c r="L13" s="11">
        <v>48</v>
      </c>
    </row>
    <row r="14" spans="1:28" s="25" customFormat="1" ht="17" x14ac:dyDescent="0.2">
      <c r="A14" s="57" t="s">
        <v>101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1</v>
      </c>
      <c r="H14" s="11">
        <v>3</v>
      </c>
      <c r="I14" s="11">
        <v>5</v>
      </c>
      <c r="J14" s="11">
        <v>5</v>
      </c>
      <c r="K14" s="11">
        <v>6</v>
      </c>
      <c r="L14" s="11">
        <v>8</v>
      </c>
    </row>
    <row r="15" spans="1:28" s="25" customFormat="1" ht="17" x14ac:dyDescent="0.2">
      <c r="A15" s="57" t="s">
        <v>102</v>
      </c>
      <c r="B15" s="11">
        <v>27</v>
      </c>
      <c r="C15" s="11">
        <v>27</v>
      </c>
      <c r="D15" s="11">
        <v>28</v>
      </c>
      <c r="E15" s="11">
        <v>28</v>
      </c>
      <c r="F15" s="11">
        <v>28</v>
      </c>
      <c r="G15" s="11">
        <v>29</v>
      </c>
      <c r="H15" s="11">
        <v>30</v>
      </c>
      <c r="I15" s="11">
        <v>30</v>
      </c>
      <c r="J15" s="11">
        <v>31</v>
      </c>
      <c r="K15" s="11">
        <v>35</v>
      </c>
      <c r="L15" s="11">
        <v>42</v>
      </c>
    </row>
    <row r="16" spans="1:28" s="25" customFormat="1" ht="17" x14ac:dyDescent="0.2">
      <c r="A16" s="57" t="s">
        <v>103</v>
      </c>
      <c r="B16" s="11">
        <v>7</v>
      </c>
      <c r="C16" s="11">
        <v>7</v>
      </c>
      <c r="D16" s="11">
        <v>7</v>
      </c>
      <c r="E16" s="11">
        <v>7</v>
      </c>
      <c r="F16" s="11">
        <v>7</v>
      </c>
      <c r="G16" s="11">
        <v>8</v>
      </c>
      <c r="H16" s="11">
        <v>8</v>
      </c>
      <c r="I16" s="11">
        <v>9</v>
      </c>
      <c r="J16" s="11">
        <v>15</v>
      </c>
      <c r="K16" s="11">
        <v>25</v>
      </c>
      <c r="L16" s="11">
        <v>34</v>
      </c>
    </row>
    <row r="17" spans="1:12" s="25" customFormat="1" ht="17" x14ac:dyDescent="0.2">
      <c r="A17" s="57" t="s">
        <v>104</v>
      </c>
      <c r="B17" s="11">
        <v>62</v>
      </c>
      <c r="C17" s="11">
        <v>63</v>
      </c>
      <c r="D17" s="11">
        <v>67</v>
      </c>
      <c r="E17" s="11">
        <v>67</v>
      </c>
      <c r="F17" s="11">
        <v>67</v>
      </c>
      <c r="G17" s="11">
        <v>69</v>
      </c>
      <c r="H17" s="11">
        <v>72</v>
      </c>
      <c r="I17" s="11">
        <v>73</v>
      </c>
      <c r="J17" s="11">
        <v>80</v>
      </c>
      <c r="K17" s="11">
        <v>91</v>
      </c>
      <c r="L17" s="11">
        <v>105</v>
      </c>
    </row>
    <row r="18" spans="1:12" s="25" customFormat="1" ht="17" x14ac:dyDescent="0.2">
      <c r="A18" s="57" t="s">
        <v>105</v>
      </c>
      <c r="B18" s="11">
        <v>13</v>
      </c>
      <c r="C18" s="11">
        <v>13</v>
      </c>
      <c r="D18" s="11">
        <v>13</v>
      </c>
      <c r="E18" s="11">
        <v>14</v>
      </c>
      <c r="F18" s="11">
        <v>14</v>
      </c>
      <c r="G18" s="11">
        <v>16</v>
      </c>
      <c r="H18" s="11">
        <v>23</v>
      </c>
      <c r="I18" s="11">
        <v>24</v>
      </c>
      <c r="J18" s="11">
        <v>24</v>
      </c>
      <c r="K18" s="11">
        <v>32</v>
      </c>
      <c r="L18" s="11">
        <v>42</v>
      </c>
    </row>
    <row r="19" spans="1:12" s="25" customFormat="1" ht="17" x14ac:dyDescent="0.2">
      <c r="A19" s="57" t="s">
        <v>106</v>
      </c>
      <c r="B19" s="11">
        <v>1</v>
      </c>
      <c r="C19" s="11">
        <v>1</v>
      </c>
      <c r="D19" s="11">
        <v>1</v>
      </c>
      <c r="E19" s="11">
        <v>1</v>
      </c>
      <c r="F19" s="11">
        <v>1</v>
      </c>
      <c r="G19" s="11">
        <v>2</v>
      </c>
      <c r="H19" s="11">
        <v>3</v>
      </c>
      <c r="I19" s="11">
        <v>3</v>
      </c>
      <c r="J19" s="11">
        <v>5</v>
      </c>
      <c r="K19" s="11">
        <v>6</v>
      </c>
      <c r="L19" s="11">
        <v>10</v>
      </c>
    </row>
    <row r="20" spans="1:12" s="25" customFormat="1" ht="17" x14ac:dyDescent="0.2">
      <c r="A20" s="57" t="s">
        <v>107</v>
      </c>
      <c r="B20" s="11">
        <v>19</v>
      </c>
      <c r="C20" s="11">
        <v>19</v>
      </c>
      <c r="D20" s="11">
        <v>17</v>
      </c>
      <c r="E20" s="11">
        <v>17</v>
      </c>
      <c r="F20" s="11">
        <v>17</v>
      </c>
      <c r="G20" s="11">
        <v>17</v>
      </c>
      <c r="H20" s="11">
        <v>20</v>
      </c>
      <c r="I20" s="11">
        <v>23</v>
      </c>
      <c r="J20" s="11">
        <v>27</v>
      </c>
      <c r="K20" s="11">
        <v>37</v>
      </c>
      <c r="L20" s="11">
        <v>56</v>
      </c>
    </row>
    <row r="21" spans="1:12" s="25" customFormat="1" ht="17" x14ac:dyDescent="0.2">
      <c r="A21" s="57" t="s">
        <v>108</v>
      </c>
      <c r="B21" s="11">
        <v>5</v>
      </c>
      <c r="C21" s="11">
        <v>7</v>
      </c>
      <c r="D21" s="11">
        <v>7</v>
      </c>
      <c r="E21" s="11">
        <v>7</v>
      </c>
      <c r="F21" s="11">
        <v>7</v>
      </c>
      <c r="G21" s="11">
        <v>9</v>
      </c>
      <c r="H21" s="11">
        <v>9</v>
      </c>
      <c r="I21" s="11">
        <v>12</v>
      </c>
      <c r="J21" s="11">
        <v>15</v>
      </c>
      <c r="K21" s="11">
        <v>19</v>
      </c>
      <c r="L21" s="11">
        <v>22</v>
      </c>
    </row>
    <row r="22" spans="1:12" s="25" customFormat="1" ht="17" x14ac:dyDescent="0.2">
      <c r="A22" s="57" t="s">
        <v>109</v>
      </c>
      <c r="B22" s="11">
        <v>3</v>
      </c>
      <c r="C22" s="11">
        <v>3</v>
      </c>
      <c r="D22" s="11">
        <v>4</v>
      </c>
      <c r="E22" s="11">
        <v>4</v>
      </c>
      <c r="F22" s="11">
        <v>4</v>
      </c>
      <c r="G22" s="11">
        <v>5</v>
      </c>
      <c r="H22" s="11">
        <v>8</v>
      </c>
      <c r="I22" s="11">
        <v>9</v>
      </c>
      <c r="J22" s="11">
        <v>10</v>
      </c>
      <c r="K22" s="11">
        <v>12</v>
      </c>
      <c r="L22" s="11">
        <v>15</v>
      </c>
    </row>
    <row r="23" spans="1:12" s="25" customFormat="1" ht="17" x14ac:dyDescent="0.2">
      <c r="A23" s="57" t="s">
        <v>110</v>
      </c>
      <c r="B23" s="11">
        <v>23</v>
      </c>
      <c r="C23" s="11">
        <v>23</v>
      </c>
      <c r="D23" s="11">
        <v>25</v>
      </c>
      <c r="E23" s="11">
        <v>26</v>
      </c>
      <c r="F23" s="11">
        <v>26</v>
      </c>
      <c r="G23" s="11">
        <v>25</v>
      </c>
      <c r="H23" s="11">
        <v>27</v>
      </c>
      <c r="I23" s="11">
        <v>32</v>
      </c>
      <c r="J23" s="11">
        <v>41</v>
      </c>
      <c r="K23" s="11">
        <v>51</v>
      </c>
      <c r="L23" s="11">
        <v>62</v>
      </c>
    </row>
    <row r="24" spans="1:12" s="25" customFormat="1" ht="17" x14ac:dyDescent="0.2">
      <c r="A24" s="57" t="s">
        <v>111</v>
      </c>
      <c r="B24" s="11">
        <v>41</v>
      </c>
      <c r="C24" s="11">
        <v>45</v>
      </c>
      <c r="D24" s="11">
        <v>47</v>
      </c>
      <c r="E24" s="11">
        <v>49</v>
      </c>
      <c r="F24" s="11">
        <v>50</v>
      </c>
      <c r="G24" s="11">
        <v>57</v>
      </c>
      <c r="H24" s="11">
        <v>65</v>
      </c>
      <c r="I24" s="11">
        <v>77</v>
      </c>
      <c r="J24" s="11">
        <v>86</v>
      </c>
      <c r="K24" s="11">
        <v>91</v>
      </c>
      <c r="L24" s="11">
        <v>99</v>
      </c>
    </row>
    <row r="25" spans="1:12" s="25" customFormat="1" ht="17" x14ac:dyDescent="0.2">
      <c r="A25" s="57" t="s">
        <v>112</v>
      </c>
      <c r="B25" s="15" t="s">
        <v>21</v>
      </c>
      <c r="C25" s="15" t="s">
        <v>21</v>
      </c>
      <c r="D25" s="11">
        <v>3</v>
      </c>
      <c r="E25" s="11">
        <v>3</v>
      </c>
      <c r="F25" s="11">
        <v>5</v>
      </c>
      <c r="G25" s="11">
        <v>5</v>
      </c>
      <c r="H25" s="11">
        <v>6</v>
      </c>
      <c r="I25" s="11">
        <v>7</v>
      </c>
      <c r="J25" s="11">
        <v>11</v>
      </c>
      <c r="K25" s="11">
        <v>19</v>
      </c>
      <c r="L25" s="11">
        <v>20</v>
      </c>
    </row>
    <row r="26" spans="1:12" s="25" customFormat="1" ht="17" x14ac:dyDescent="0.2">
      <c r="A26" s="57" t="s">
        <v>113</v>
      </c>
      <c r="B26" s="11">
        <v>2</v>
      </c>
      <c r="C26" s="11">
        <v>2</v>
      </c>
      <c r="D26" s="11">
        <v>2</v>
      </c>
      <c r="E26" s="11">
        <v>2</v>
      </c>
      <c r="F26" s="11">
        <v>2</v>
      </c>
      <c r="G26" s="11">
        <v>2</v>
      </c>
      <c r="H26" s="11">
        <v>3</v>
      </c>
      <c r="I26" s="11">
        <v>3</v>
      </c>
      <c r="J26" s="11">
        <v>3</v>
      </c>
      <c r="K26" s="11">
        <v>4</v>
      </c>
      <c r="L26" s="11">
        <v>5</v>
      </c>
    </row>
    <row r="27" spans="1:12" s="25" customFormat="1" ht="17" x14ac:dyDescent="0.2">
      <c r="A27" s="57" t="s">
        <v>114</v>
      </c>
      <c r="B27" s="11">
        <v>1</v>
      </c>
      <c r="C27" s="11">
        <v>1</v>
      </c>
      <c r="D27" s="11">
        <v>1</v>
      </c>
      <c r="E27" s="11">
        <v>1</v>
      </c>
      <c r="F27" s="11">
        <v>1</v>
      </c>
      <c r="G27" s="11">
        <v>2</v>
      </c>
      <c r="H27" s="11">
        <v>3</v>
      </c>
      <c r="I27" s="11">
        <v>4</v>
      </c>
      <c r="J27" s="11">
        <v>5</v>
      </c>
      <c r="K27" s="11">
        <v>6</v>
      </c>
      <c r="L27" s="11">
        <v>7</v>
      </c>
    </row>
    <row r="28" spans="1:12" s="25" customFormat="1" ht="17" x14ac:dyDescent="0.2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s="25" customFormat="1" ht="17" x14ac:dyDescent="0.2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25" customFormat="1" ht="17" x14ac:dyDescent="0.2">
      <c r="A30" s="60" t="s">
        <v>83</v>
      </c>
      <c r="B30" s="11">
        <v>475</v>
      </c>
      <c r="C30" s="11">
        <v>487</v>
      </c>
      <c r="D30" s="11">
        <v>503</v>
      </c>
      <c r="E30" s="11">
        <v>518</v>
      </c>
      <c r="F30" s="11">
        <v>542</v>
      </c>
      <c r="G30" s="11">
        <v>594</v>
      </c>
      <c r="H30" s="11">
        <v>698</v>
      </c>
      <c r="I30" s="11">
        <v>810</v>
      </c>
      <c r="J30" s="11">
        <v>922</v>
      </c>
      <c r="K30" s="11">
        <v>1129</v>
      </c>
      <c r="L30" s="11">
        <v>1321</v>
      </c>
    </row>
    <row r="31" spans="1:12" s="25" customFormat="1" ht="17" x14ac:dyDescent="0.2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s="25" customFormat="1" ht="17" x14ac:dyDescent="0.2">
      <c r="A32" s="58" t="s">
        <v>116</v>
      </c>
      <c r="B32" s="11">
        <v>153</v>
      </c>
      <c r="C32" s="11">
        <v>152</v>
      </c>
      <c r="D32" s="11">
        <v>94</v>
      </c>
      <c r="E32" s="11">
        <v>95</v>
      </c>
      <c r="F32" s="11">
        <v>100</v>
      </c>
      <c r="G32" s="11">
        <v>106</v>
      </c>
      <c r="H32" s="11">
        <v>124</v>
      </c>
      <c r="I32" s="11">
        <v>133</v>
      </c>
      <c r="J32" s="11">
        <v>145</v>
      </c>
      <c r="K32" s="11">
        <v>169</v>
      </c>
      <c r="L32" s="11">
        <v>194</v>
      </c>
    </row>
    <row r="33" spans="1:28" s="25" customFormat="1" ht="17" x14ac:dyDescent="0.2">
      <c r="A33" s="58" t="s">
        <v>117</v>
      </c>
      <c r="B33" s="11">
        <v>314</v>
      </c>
      <c r="C33" s="11">
        <v>327</v>
      </c>
      <c r="D33" s="11">
        <v>403</v>
      </c>
      <c r="E33" s="11">
        <v>417</v>
      </c>
      <c r="F33" s="11">
        <v>434</v>
      </c>
      <c r="G33" s="11">
        <v>476</v>
      </c>
      <c r="H33" s="11">
        <v>553</v>
      </c>
      <c r="I33" s="11">
        <v>650</v>
      </c>
      <c r="J33" s="11">
        <v>744</v>
      </c>
      <c r="K33" s="11">
        <v>911</v>
      </c>
      <c r="L33" s="11">
        <v>1059</v>
      </c>
    </row>
    <row r="34" spans="1:28" s="25" customFormat="1" ht="17" x14ac:dyDescent="0.2">
      <c r="A34" s="59" t="s">
        <v>118</v>
      </c>
      <c r="B34" s="13">
        <v>8</v>
      </c>
      <c r="C34" s="13">
        <v>8</v>
      </c>
      <c r="D34" s="13">
        <v>6</v>
      </c>
      <c r="E34" s="13">
        <v>6</v>
      </c>
      <c r="F34" s="13">
        <v>8</v>
      </c>
      <c r="G34" s="13">
        <v>12</v>
      </c>
      <c r="H34" s="13">
        <v>21</v>
      </c>
      <c r="I34" s="13">
        <v>27</v>
      </c>
      <c r="J34" s="13">
        <v>33</v>
      </c>
      <c r="K34" s="13">
        <v>49</v>
      </c>
      <c r="L34" s="13">
        <v>68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1:28" s="25" customFormat="1" ht="20.5" x14ac:dyDescent="0.2">
      <c r="A35" s="123" t="s">
        <v>410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5"/>
  <sheetViews>
    <sheetView workbookViewId="0">
      <selection activeCell="A35" sqref="A35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7" style="1" customWidth="1"/>
    <col min="16" max="28" width="7" customWidth="1"/>
  </cols>
  <sheetData>
    <row r="1" spans="1:28" ht="20.5" x14ac:dyDescent="0.85">
      <c r="A1" s="55" t="s">
        <v>122</v>
      </c>
    </row>
    <row r="2" spans="1:28" ht="7.5" customHeight="1" x14ac:dyDescent="0.25"/>
    <row r="3" spans="1:28" ht="23.25" customHeight="1" x14ac:dyDescent="0.25">
      <c r="A3" s="56" t="s">
        <v>90</v>
      </c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  <c r="U3" s="14">
        <v>2017</v>
      </c>
      <c r="V3" s="14">
        <v>2018</v>
      </c>
      <c r="W3" s="14">
        <v>2019</v>
      </c>
      <c r="X3" s="14">
        <v>2020</v>
      </c>
      <c r="Y3" s="14">
        <v>2021</v>
      </c>
      <c r="Z3" s="14">
        <v>2022</v>
      </c>
      <c r="AA3" s="14">
        <v>2023</v>
      </c>
      <c r="AB3" s="14">
        <v>2024</v>
      </c>
    </row>
    <row r="4" spans="1:28" ht="17" x14ac:dyDescent="0.25">
      <c r="A4" s="57" t="s">
        <v>91</v>
      </c>
      <c r="B4" s="11">
        <v>2723</v>
      </c>
      <c r="C4" s="11">
        <v>3088</v>
      </c>
      <c r="D4" s="11">
        <v>3088</v>
      </c>
      <c r="E4" s="11">
        <v>3447</v>
      </c>
      <c r="F4" s="11">
        <v>3859</v>
      </c>
      <c r="G4" s="11">
        <v>3844</v>
      </c>
      <c r="H4" s="11">
        <v>4014</v>
      </c>
      <c r="I4" s="11">
        <v>4113</v>
      </c>
      <c r="J4" s="11">
        <v>4184</v>
      </c>
      <c r="K4" s="11">
        <v>4337</v>
      </c>
      <c r="L4" s="11">
        <v>4313</v>
      </c>
    </row>
    <row r="5" spans="1:28" ht="17" x14ac:dyDescent="0.25">
      <c r="A5" s="57" t="s">
        <v>92</v>
      </c>
      <c r="B5" s="11">
        <v>3939</v>
      </c>
      <c r="C5" s="11">
        <v>4330</v>
      </c>
      <c r="D5" s="11">
        <v>4808</v>
      </c>
      <c r="E5" s="11">
        <v>5232</v>
      </c>
      <c r="F5" s="11">
        <v>5790</v>
      </c>
      <c r="G5" s="11">
        <v>5766</v>
      </c>
      <c r="H5" s="11">
        <v>6094</v>
      </c>
      <c r="I5" s="11">
        <v>6404</v>
      </c>
      <c r="J5" s="11">
        <v>6589</v>
      </c>
      <c r="K5" s="11">
        <v>6633</v>
      </c>
      <c r="L5" s="11">
        <v>6751</v>
      </c>
    </row>
    <row r="6" spans="1:28" ht="17" x14ac:dyDescent="0.25">
      <c r="A6" s="57" t="s">
        <v>93</v>
      </c>
      <c r="B6" s="11">
        <v>7868</v>
      </c>
      <c r="C6" s="11">
        <v>8018</v>
      </c>
      <c r="D6" s="11">
        <v>8211</v>
      </c>
      <c r="E6" s="11">
        <v>8466</v>
      </c>
      <c r="F6" s="11">
        <v>9335</v>
      </c>
      <c r="G6" s="11">
        <v>9430</v>
      </c>
      <c r="H6" s="11">
        <v>9480</v>
      </c>
      <c r="I6" s="11">
        <v>9607</v>
      </c>
      <c r="J6" s="11">
        <v>9759</v>
      </c>
      <c r="K6" s="11">
        <v>9891</v>
      </c>
      <c r="L6" s="11">
        <v>9796</v>
      </c>
    </row>
    <row r="7" spans="1:28" ht="17" x14ac:dyDescent="0.25">
      <c r="A7" s="57" t="s">
        <v>94</v>
      </c>
      <c r="B7" s="11">
        <v>1752</v>
      </c>
      <c r="C7" s="11">
        <v>1903</v>
      </c>
      <c r="D7" s="11">
        <v>1987</v>
      </c>
      <c r="E7" s="11">
        <v>2210</v>
      </c>
      <c r="F7" s="11">
        <v>2522</v>
      </c>
      <c r="G7" s="11">
        <v>2548</v>
      </c>
      <c r="H7" s="11">
        <v>2718</v>
      </c>
      <c r="I7" s="11">
        <v>2849</v>
      </c>
      <c r="J7" s="11">
        <v>2889</v>
      </c>
      <c r="K7" s="11">
        <v>2894</v>
      </c>
      <c r="L7" s="11">
        <v>2891</v>
      </c>
    </row>
    <row r="8" spans="1:28" ht="17" x14ac:dyDescent="0.25">
      <c r="A8" s="57" t="s">
        <v>95</v>
      </c>
      <c r="B8" s="11">
        <v>2768</v>
      </c>
      <c r="C8" s="11">
        <v>2906</v>
      </c>
      <c r="D8" s="11">
        <v>3153</v>
      </c>
      <c r="E8" s="11">
        <v>3562</v>
      </c>
      <c r="F8" s="11">
        <v>3988</v>
      </c>
      <c r="G8" s="11">
        <v>3857</v>
      </c>
      <c r="H8" s="11">
        <v>4078</v>
      </c>
      <c r="I8" s="11">
        <v>4119</v>
      </c>
      <c r="J8" s="11">
        <v>4060</v>
      </c>
      <c r="K8" s="11">
        <v>4041</v>
      </c>
      <c r="L8" s="11">
        <v>3982</v>
      </c>
    </row>
    <row r="9" spans="1:28" ht="17" x14ac:dyDescent="0.25">
      <c r="A9" s="57" t="s">
        <v>96</v>
      </c>
      <c r="B9" s="11">
        <v>2464</v>
      </c>
      <c r="C9" s="11">
        <v>2660</v>
      </c>
      <c r="D9" s="11">
        <v>2869</v>
      </c>
      <c r="E9" s="11">
        <v>3276</v>
      </c>
      <c r="F9" s="11">
        <v>3514</v>
      </c>
      <c r="G9" s="11">
        <v>3544</v>
      </c>
      <c r="H9" s="11">
        <v>3743</v>
      </c>
      <c r="I9" s="11">
        <v>3843</v>
      </c>
      <c r="J9" s="11">
        <v>4053</v>
      </c>
      <c r="K9" s="11">
        <v>4094</v>
      </c>
      <c r="L9" s="11">
        <v>4117</v>
      </c>
    </row>
    <row r="10" spans="1:28" ht="17" x14ac:dyDescent="0.25">
      <c r="A10" s="57" t="s">
        <v>97</v>
      </c>
      <c r="B10" s="11">
        <v>2895</v>
      </c>
      <c r="C10" s="11">
        <v>3013</v>
      </c>
      <c r="D10" s="11">
        <v>3177</v>
      </c>
      <c r="E10" s="11">
        <v>3361</v>
      </c>
      <c r="F10" s="11">
        <v>3701</v>
      </c>
      <c r="G10" s="11">
        <v>3672</v>
      </c>
      <c r="H10" s="11">
        <v>3759</v>
      </c>
      <c r="I10" s="11">
        <v>3821</v>
      </c>
      <c r="J10" s="11">
        <v>3842</v>
      </c>
      <c r="K10" s="11">
        <v>3896</v>
      </c>
      <c r="L10" s="11">
        <v>3891</v>
      </c>
    </row>
    <row r="11" spans="1:28" ht="17" x14ac:dyDescent="0.25">
      <c r="A11" s="57" t="s">
        <v>98</v>
      </c>
      <c r="B11" s="11">
        <v>5636</v>
      </c>
      <c r="C11" s="11">
        <v>5874</v>
      </c>
      <c r="D11" s="11">
        <v>6219</v>
      </c>
      <c r="E11" s="11">
        <v>6655</v>
      </c>
      <c r="F11" s="11">
        <v>6878</v>
      </c>
      <c r="G11" s="11">
        <v>6794</v>
      </c>
      <c r="H11" s="11">
        <v>6966</v>
      </c>
      <c r="I11" s="11">
        <v>7154</v>
      </c>
      <c r="J11" s="11">
        <v>7341</v>
      </c>
      <c r="K11" s="11">
        <v>7204</v>
      </c>
      <c r="L11" s="11">
        <v>7123</v>
      </c>
    </row>
    <row r="12" spans="1:28" ht="17" x14ac:dyDescent="0.25">
      <c r="A12" s="57" t="s">
        <v>99</v>
      </c>
      <c r="B12" s="11">
        <v>331</v>
      </c>
      <c r="C12" s="11">
        <v>343</v>
      </c>
      <c r="D12" s="11">
        <v>393</v>
      </c>
      <c r="E12" s="11">
        <v>500</v>
      </c>
      <c r="F12" s="11">
        <v>570</v>
      </c>
      <c r="G12" s="11">
        <v>670</v>
      </c>
      <c r="H12" s="11">
        <v>711</v>
      </c>
      <c r="I12" s="11">
        <v>728</v>
      </c>
      <c r="J12" s="11">
        <v>811</v>
      </c>
      <c r="K12" s="11">
        <v>860</v>
      </c>
      <c r="L12" s="11">
        <v>904</v>
      </c>
    </row>
    <row r="13" spans="1:28" ht="17" x14ac:dyDescent="0.25">
      <c r="A13" s="57" t="s">
        <v>100</v>
      </c>
      <c r="B13" s="11">
        <v>1357</v>
      </c>
      <c r="C13" s="11">
        <v>1389</v>
      </c>
      <c r="D13" s="11">
        <v>1417</v>
      </c>
      <c r="E13" s="11">
        <v>1562</v>
      </c>
      <c r="F13" s="11">
        <v>1698</v>
      </c>
      <c r="G13" s="11">
        <v>1764</v>
      </c>
      <c r="H13" s="11">
        <v>1778</v>
      </c>
      <c r="I13" s="11">
        <v>1863</v>
      </c>
      <c r="J13" s="11">
        <v>1935</v>
      </c>
      <c r="K13" s="11">
        <v>1999</v>
      </c>
      <c r="L13" s="11">
        <v>2113</v>
      </c>
    </row>
    <row r="14" spans="1:28" ht="17" x14ac:dyDescent="0.25">
      <c r="A14" s="57" t="s">
        <v>101</v>
      </c>
      <c r="B14" s="11">
        <v>87</v>
      </c>
      <c r="C14" s="11">
        <v>102</v>
      </c>
      <c r="D14" s="11">
        <v>114</v>
      </c>
      <c r="E14" s="11">
        <v>130</v>
      </c>
      <c r="F14" s="11">
        <v>161</v>
      </c>
      <c r="G14" s="11">
        <v>200</v>
      </c>
      <c r="H14" s="11">
        <v>249</v>
      </c>
      <c r="I14" s="11">
        <v>289</v>
      </c>
      <c r="J14" s="11">
        <v>341</v>
      </c>
      <c r="K14" s="11">
        <v>393</v>
      </c>
      <c r="L14" s="11">
        <v>435</v>
      </c>
    </row>
    <row r="15" spans="1:28" ht="17" x14ac:dyDescent="0.25">
      <c r="A15" s="57" t="s">
        <v>102</v>
      </c>
      <c r="B15" s="11">
        <v>4503</v>
      </c>
      <c r="C15" s="11">
        <v>4633</v>
      </c>
      <c r="D15" s="11">
        <v>4763</v>
      </c>
      <c r="E15" s="11">
        <v>5128</v>
      </c>
      <c r="F15" s="11">
        <v>5371</v>
      </c>
      <c r="G15" s="11">
        <v>5508</v>
      </c>
      <c r="H15" s="11">
        <v>5627</v>
      </c>
      <c r="I15" s="11">
        <v>5624</v>
      </c>
      <c r="J15" s="11">
        <v>5680</v>
      </c>
      <c r="K15" s="11">
        <v>5487</v>
      </c>
      <c r="L15" s="11">
        <v>5545</v>
      </c>
    </row>
    <row r="16" spans="1:28" ht="17" x14ac:dyDescent="0.25">
      <c r="A16" s="57" t="s">
        <v>103</v>
      </c>
      <c r="B16" s="11">
        <v>501</v>
      </c>
      <c r="C16" s="11">
        <v>515</v>
      </c>
      <c r="D16" s="11">
        <v>562</v>
      </c>
      <c r="E16" s="11">
        <v>627</v>
      </c>
      <c r="F16" s="11">
        <v>761</v>
      </c>
      <c r="G16" s="11">
        <v>818</v>
      </c>
      <c r="H16" s="11">
        <v>900</v>
      </c>
      <c r="I16" s="11">
        <v>1025</v>
      </c>
      <c r="J16" s="11">
        <v>1107</v>
      </c>
      <c r="K16" s="11">
        <v>1195</v>
      </c>
      <c r="L16" s="11">
        <v>1264</v>
      </c>
    </row>
    <row r="17" spans="1:12" ht="17" x14ac:dyDescent="0.25">
      <c r="A17" s="57" t="s">
        <v>104</v>
      </c>
      <c r="B17" s="11">
        <v>4925</v>
      </c>
      <c r="C17" s="11">
        <v>5019</v>
      </c>
      <c r="D17" s="11">
        <v>5218</v>
      </c>
      <c r="E17" s="11">
        <v>5769</v>
      </c>
      <c r="F17" s="11">
        <v>6304</v>
      </c>
      <c r="G17" s="11">
        <v>6290</v>
      </c>
      <c r="H17" s="11">
        <v>6385</v>
      </c>
      <c r="I17" s="11">
        <v>6642</v>
      </c>
      <c r="J17" s="11">
        <v>6733</v>
      </c>
      <c r="K17" s="11">
        <v>6516</v>
      </c>
      <c r="L17" s="11">
        <v>6503</v>
      </c>
    </row>
    <row r="18" spans="1:12" ht="17" x14ac:dyDescent="0.25">
      <c r="A18" s="57" t="s">
        <v>105</v>
      </c>
      <c r="B18" s="11">
        <v>1675</v>
      </c>
      <c r="C18" s="11">
        <v>1714</v>
      </c>
      <c r="D18" s="11">
        <v>1837</v>
      </c>
      <c r="E18" s="11">
        <v>2075</v>
      </c>
      <c r="F18" s="11">
        <v>2322</v>
      </c>
      <c r="G18" s="11">
        <v>2399</v>
      </c>
      <c r="H18" s="11">
        <v>2515</v>
      </c>
      <c r="I18" s="11">
        <v>2600</v>
      </c>
      <c r="J18" s="11">
        <v>2643</v>
      </c>
      <c r="K18" s="11">
        <v>2626</v>
      </c>
      <c r="L18" s="11">
        <v>2623</v>
      </c>
    </row>
    <row r="19" spans="1:12" ht="17" x14ac:dyDescent="0.25">
      <c r="A19" s="57" t="s">
        <v>106</v>
      </c>
      <c r="B19" s="11">
        <v>248</v>
      </c>
      <c r="C19" s="11">
        <v>263</v>
      </c>
      <c r="D19" s="11">
        <v>314</v>
      </c>
      <c r="E19" s="11">
        <v>332</v>
      </c>
      <c r="F19" s="11">
        <v>379</v>
      </c>
      <c r="G19" s="11">
        <v>441</v>
      </c>
      <c r="H19" s="11">
        <v>494</v>
      </c>
      <c r="I19" s="11">
        <v>557</v>
      </c>
      <c r="J19" s="11">
        <v>633</v>
      </c>
      <c r="K19" s="11">
        <v>723</v>
      </c>
      <c r="L19" s="11">
        <v>798</v>
      </c>
    </row>
    <row r="20" spans="1:12" ht="17" x14ac:dyDescent="0.25">
      <c r="A20" s="57" t="s">
        <v>107</v>
      </c>
      <c r="B20" s="11">
        <v>2796</v>
      </c>
      <c r="C20" s="11">
        <v>2997</v>
      </c>
      <c r="D20" s="11">
        <v>3009</v>
      </c>
      <c r="E20" s="11">
        <v>3299</v>
      </c>
      <c r="F20" s="11">
        <v>3844</v>
      </c>
      <c r="G20" s="11">
        <v>4148</v>
      </c>
      <c r="H20" s="11">
        <v>4373</v>
      </c>
      <c r="I20" s="11">
        <v>4447</v>
      </c>
      <c r="J20" s="11">
        <v>4464</v>
      </c>
      <c r="K20" s="11">
        <v>4751</v>
      </c>
      <c r="L20" s="11">
        <v>4976</v>
      </c>
    </row>
    <row r="21" spans="1:12" ht="17" x14ac:dyDescent="0.25">
      <c r="A21" s="57" t="s">
        <v>108</v>
      </c>
      <c r="B21" s="11">
        <v>673</v>
      </c>
      <c r="C21" s="11">
        <v>717</v>
      </c>
      <c r="D21" s="11">
        <v>759</v>
      </c>
      <c r="E21" s="11">
        <v>845</v>
      </c>
      <c r="F21" s="11">
        <v>946</v>
      </c>
      <c r="G21" s="11">
        <v>966</v>
      </c>
      <c r="H21" s="11">
        <v>986</v>
      </c>
      <c r="I21" s="11">
        <v>1050</v>
      </c>
      <c r="J21" s="11">
        <v>1068</v>
      </c>
      <c r="K21" s="11">
        <v>1084</v>
      </c>
      <c r="L21" s="11">
        <v>1066</v>
      </c>
    </row>
    <row r="22" spans="1:12" ht="17" x14ac:dyDescent="0.25">
      <c r="A22" s="57" t="s">
        <v>109</v>
      </c>
      <c r="B22" s="11">
        <v>380</v>
      </c>
      <c r="C22" s="11">
        <v>404</v>
      </c>
      <c r="D22" s="11">
        <v>439</v>
      </c>
      <c r="E22" s="11">
        <v>530</v>
      </c>
      <c r="F22" s="11">
        <v>602</v>
      </c>
      <c r="G22" s="11">
        <v>622</v>
      </c>
      <c r="H22" s="11">
        <v>699</v>
      </c>
      <c r="I22" s="11">
        <v>775</v>
      </c>
      <c r="J22" s="11">
        <v>830</v>
      </c>
      <c r="K22" s="11">
        <v>870</v>
      </c>
      <c r="L22" s="11">
        <v>917</v>
      </c>
    </row>
    <row r="23" spans="1:12" ht="17" x14ac:dyDescent="0.25">
      <c r="A23" s="57" t="s">
        <v>110</v>
      </c>
      <c r="B23" s="11">
        <v>2427</v>
      </c>
      <c r="C23" s="11">
        <v>2580</v>
      </c>
      <c r="D23" s="11">
        <v>2727</v>
      </c>
      <c r="E23" s="11">
        <v>2938</v>
      </c>
      <c r="F23" s="11">
        <v>3196</v>
      </c>
      <c r="G23" s="11">
        <v>3179</v>
      </c>
      <c r="H23" s="11">
        <v>3244</v>
      </c>
      <c r="I23" s="11">
        <v>3329</v>
      </c>
      <c r="J23" s="11">
        <v>3388</v>
      </c>
      <c r="K23" s="11">
        <v>3330</v>
      </c>
      <c r="L23" s="11">
        <v>3293</v>
      </c>
    </row>
    <row r="24" spans="1:12" ht="17" x14ac:dyDescent="0.25">
      <c r="A24" s="57" t="s">
        <v>111</v>
      </c>
      <c r="B24" s="11">
        <v>4281</v>
      </c>
      <c r="C24" s="11">
        <v>4843</v>
      </c>
      <c r="D24" s="11">
        <v>5032</v>
      </c>
      <c r="E24" s="11">
        <v>5337</v>
      </c>
      <c r="F24" s="11">
        <v>5756</v>
      </c>
      <c r="G24" s="11">
        <v>5768</v>
      </c>
      <c r="H24" s="11">
        <v>5681</v>
      </c>
      <c r="I24" s="11">
        <v>5824</v>
      </c>
      <c r="J24" s="11">
        <v>6044</v>
      </c>
      <c r="K24" s="11">
        <v>6084</v>
      </c>
      <c r="L24" s="11">
        <v>6114</v>
      </c>
    </row>
    <row r="25" spans="1:12" ht="17" x14ac:dyDescent="0.25">
      <c r="A25" s="57" t="s">
        <v>112</v>
      </c>
      <c r="B25" s="15" t="s">
        <v>21</v>
      </c>
      <c r="C25" s="15" t="s">
        <v>21</v>
      </c>
      <c r="D25" s="11">
        <v>335</v>
      </c>
      <c r="E25" s="11">
        <v>592</v>
      </c>
      <c r="F25" s="11">
        <v>764</v>
      </c>
      <c r="G25" s="11">
        <v>791</v>
      </c>
      <c r="H25" s="11">
        <v>927</v>
      </c>
      <c r="I25" s="11">
        <v>1010</v>
      </c>
      <c r="J25" s="11">
        <v>1102</v>
      </c>
      <c r="K25" s="11">
        <v>1209</v>
      </c>
      <c r="L25" s="11">
        <v>1270</v>
      </c>
    </row>
    <row r="26" spans="1:12" ht="17" x14ac:dyDescent="0.25">
      <c r="A26" s="57" t="s">
        <v>113</v>
      </c>
      <c r="B26" s="11">
        <v>146</v>
      </c>
      <c r="C26" s="11">
        <v>162</v>
      </c>
      <c r="D26" s="11">
        <v>176</v>
      </c>
      <c r="E26" s="11">
        <v>207</v>
      </c>
      <c r="F26" s="11">
        <v>221</v>
      </c>
      <c r="G26" s="11">
        <v>209</v>
      </c>
      <c r="H26" s="11">
        <v>227</v>
      </c>
      <c r="I26" s="11">
        <v>236</v>
      </c>
      <c r="J26" s="11">
        <v>246</v>
      </c>
      <c r="K26" s="11">
        <v>248</v>
      </c>
      <c r="L26" s="11">
        <v>248</v>
      </c>
    </row>
    <row r="27" spans="1:12" ht="17" x14ac:dyDescent="0.25">
      <c r="A27" s="57" t="s">
        <v>114</v>
      </c>
      <c r="B27" s="11">
        <v>40</v>
      </c>
      <c r="C27" s="11">
        <v>74</v>
      </c>
      <c r="D27" s="11">
        <v>89</v>
      </c>
      <c r="E27" s="11">
        <v>132</v>
      </c>
      <c r="F27" s="11">
        <v>226</v>
      </c>
      <c r="G27" s="11">
        <v>230</v>
      </c>
      <c r="H27" s="11">
        <v>273</v>
      </c>
      <c r="I27" s="11">
        <v>312</v>
      </c>
      <c r="J27" s="11">
        <v>351</v>
      </c>
      <c r="K27" s="11">
        <v>368</v>
      </c>
      <c r="L27" s="11">
        <v>397</v>
      </c>
    </row>
    <row r="28" spans="1:12" ht="17" x14ac:dyDescent="0.25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7" x14ac:dyDescent="0.25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7" x14ac:dyDescent="0.25">
      <c r="A30" s="60" t="s">
        <v>83</v>
      </c>
      <c r="B30" s="11">
        <v>54415</v>
      </c>
      <c r="C30" s="11">
        <v>57547</v>
      </c>
      <c r="D30" s="11">
        <v>60696</v>
      </c>
      <c r="E30" s="11">
        <v>66212</v>
      </c>
      <c r="F30" s="11">
        <v>72708</v>
      </c>
      <c r="G30" s="11">
        <v>73458</v>
      </c>
      <c r="H30" s="11">
        <v>75921</v>
      </c>
      <c r="I30" s="11">
        <v>78221</v>
      </c>
      <c r="J30" s="11">
        <v>80093</v>
      </c>
      <c r="K30" s="11">
        <v>80733</v>
      </c>
      <c r="L30" s="11">
        <v>81330</v>
      </c>
    </row>
    <row r="31" spans="1:12" ht="17" x14ac:dyDescent="0.25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7" x14ac:dyDescent="0.25">
      <c r="A32" s="58" t="s">
        <v>116</v>
      </c>
      <c r="B32" s="11">
        <v>15590</v>
      </c>
      <c r="C32" s="11">
        <v>16255</v>
      </c>
      <c r="D32" s="11">
        <v>12528</v>
      </c>
      <c r="E32" s="11">
        <v>13485</v>
      </c>
      <c r="F32" s="11">
        <v>14395</v>
      </c>
      <c r="G32" s="11">
        <v>14546</v>
      </c>
      <c r="H32" s="11">
        <v>14954</v>
      </c>
      <c r="I32" s="11">
        <v>15276</v>
      </c>
      <c r="J32" s="11">
        <v>15501</v>
      </c>
      <c r="K32" s="11">
        <v>15430</v>
      </c>
      <c r="L32" s="11">
        <v>15545</v>
      </c>
    </row>
    <row r="33" spans="1:28" ht="17" x14ac:dyDescent="0.25">
      <c r="A33" s="58" t="s">
        <v>117</v>
      </c>
      <c r="B33" s="11">
        <v>35725</v>
      </c>
      <c r="C33" s="11">
        <v>37602</v>
      </c>
      <c r="D33" s="11">
        <v>47087</v>
      </c>
      <c r="E33" s="11">
        <v>51273</v>
      </c>
      <c r="F33" s="11">
        <v>56503</v>
      </c>
      <c r="G33" s="11">
        <v>56854</v>
      </c>
      <c r="H33" s="11">
        <v>58606</v>
      </c>
      <c r="I33" s="11">
        <v>60317</v>
      </c>
      <c r="J33" s="11">
        <v>61659</v>
      </c>
      <c r="K33" s="11">
        <v>62225</v>
      </c>
      <c r="L33" s="11">
        <v>62403</v>
      </c>
    </row>
    <row r="34" spans="1:28" ht="17" x14ac:dyDescent="0.25">
      <c r="A34" s="59" t="s">
        <v>118</v>
      </c>
      <c r="B34" s="13">
        <v>3100</v>
      </c>
      <c r="C34" s="13">
        <v>3690</v>
      </c>
      <c r="D34" s="13">
        <v>1081</v>
      </c>
      <c r="E34" s="13">
        <v>1454</v>
      </c>
      <c r="F34" s="13">
        <v>1810</v>
      </c>
      <c r="G34" s="13">
        <v>2058</v>
      </c>
      <c r="H34" s="13">
        <v>2361</v>
      </c>
      <c r="I34" s="13">
        <v>2628</v>
      </c>
      <c r="J34" s="13">
        <v>2933</v>
      </c>
      <c r="K34" s="13">
        <v>3078</v>
      </c>
      <c r="L34" s="13">
        <v>3382</v>
      </c>
      <c r="M34" s="34"/>
      <c r="N34" s="34"/>
      <c r="O34" s="3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1:28" ht="20.5" x14ac:dyDescent="0.25">
      <c r="A35" s="123" t="s">
        <v>410</v>
      </c>
    </row>
  </sheetData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5"/>
  <sheetViews>
    <sheetView zoomScale="156" workbookViewId="0">
      <selection activeCell="D9" sqref="D9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7.54296875" style="1" customWidth="1"/>
    <col min="16" max="28" width="7.54296875" customWidth="1"/>
  </cols>
  <sheetData>
    <row r="1" spans="1:28" ht="20.5" x14ac:dyDescent="0.85">
      <c r="A1" s="176" t="s">
        <v>445</v>
      </c>
    </row>
    <row r="2" spans="1:28" ht="5.25" customHeight="1" x14ac:dyDescent="0.25"/>
    <row r="3" spans="1:28" s="1" customFormat="1" ht="22.5" customHeight="1" x14ac:dyDescent="0.2">
      <c r="A3" s="56" t="s">
        <v>90</v>
      </c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  <c r="U3" s="14">
        <v>2017</v>
      </c>
      <c r="V3" s="14">
        <v>2018</v>
      </c>
      <c r="W3" s="14">
        <v>2019</v>
      </c>
      <c r="X3" s="14">
        <v>2020</v>
      </c>
      <c r="Y3" s="14">
        <v>2021</v>
      </c>
      <c r="Z3" s="14">
        <v>2022</v>
      </c>
      <c r="AA3" s="14">
        <v>2023</v>
      </c>
      <c r="AB3" s="14">
        <v>2024</v>
      </c>
    </row>
    <row r="4" spans="1:28" s="1" customFormat="1" ht="17" x14ac:dyDescent="0.2">
      <c r="A4" s="57" t="s">
        <v>91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28" s="1" customFormat="1" ht="17" x14ac:dyDescent="0.2">
      <c r="A5" s="57" t="s">
        <v>92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28" s="1" customFormat="1" ht="17" x14ac:dyDescent="0.2">
      <c r="A6" s="57" t="s">
        <v>93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28" s="1" customFormat="1" ht="17" x14ac:dyDescent="0.2">
      <c r="A7" s="57" t="s">
        <v>94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28" s="1" customFormat="1" ht="17" x14ac:dyDescent="0.2">
      <c r="A8" s="57" t="s">
        <v>95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28" s="1" customFormat="1" ht="17" x14ac:dyDescent="0.2">
      <c r="A9" s="57" t="s">
        <v>96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28" s="1" customFormat="1" ht="17" x14ac:dyDescent="0.2">
      <c r="A10" s="57" t="s">
        <v>97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28" s="1" customFormat="1" ht="17" x14ac:dyDescent="0.2">
      <c r="A11" s="57" t="s">
        <v>98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8" s="1" customFormat="1" ht="17" x14ac:dyDescent="0.2">
      <c r="A12" s="57" t="s">
        <v>99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8" s="1" customFormat="1" ht="17" x14ac:dyDescent="0.2">
      <c r="A13" s="57" t="s">
        <v>100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28" s="1" customFormat="1" ht="17" x14ac:dyDescent="0.2">
      <c r="A14" s="57" t="s">
        <v>101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28" s="1" customFormat="1" ht="17" x14ac:dyDescent="0.2">
      <c r="A15" s="57" t="s">
        <v>102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28" s="1" customFormat="1" ht="17" x14ac:dyDescent="0.2">
      <c r="A16" s="57" t="s">
        <v>103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s="1" customFormat="1" ht="17" x14ac:dyDescent="0.2">
      <c r="A17" s="57" t="s">
        <v>104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1" customFormat="1" ht="17" x14ac:dyDescent="0.2">
      <c r="A18" s="57" t="s">
        <v>105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s="1" customFormat="1" ht="17" x14ac:dyDescent="0.2">
      <c r="A19" s="57" t="s">
        <v>106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s="1" customFormat="1" ht="17" x14ac:dyDescent="0.2">
      <c r="A20" s="57" t="s">
        <v>107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s="1" customFormat="1" ht="17" x14ac:dyDescent="0.2">
      <c r="A21" s="57" t="s">
        <v>108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s="1" customFormat="1" ht="17" x14ac:dyDescent="0.2">
      <c r="A22" s="57" t="s">
        <v>109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s="1" customFormat="1" ht="17" x14ac:dyDescent="0.2">
      <c r="A23" s="57" t="s">
        <v>110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1" customFormat="1" ht="17" x14ac:dyDescent="0.2">
      <c r="A24" s="57" t="s">
        <v>111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s="1" customFormat="1" ht="17" x14ac:dyDescent="0.2">
      <c r="A25" s="57" t="s">
        <v>112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12" s="1" customFormat="1" ht="17" x14ac:dyDescent="0.2">
      <c r="A26" s="57" t="s">
        <v>113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s="1" customFormat="1" ht="17" x14ac:dyDescent="0.2">
      <c r="A27" s="57" t="s">
        <v>114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s="1" customFormat="1" ht="17" x14ac:dyDescent="0.2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s="1" customFormat="1" ht="17" x14ac:dyDescent="0.2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1" customFormat="1" ht="17" x14ac:dyDescent="0.2">
      <c r="A30" s="60" t="s">
        <v>83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s="1" customFormat="1" ht="17" x14ac:dyDescent="0.2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s="1" customFormat="1" ht="17" x14ac:dyDescent="0.2">
      <c r="A32" s="58" t="s">
        <v>116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28" s="1" customFormat="1" ht="17" x14ac:dyDescent="0.2">
      <c r="A33" s="58" t="s">
        <v>117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28" s="1" customFormat="1" ht="17" x14ac:dyDescent="0.2">
      <c r="A34" s="59" t="s">
        <v>118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s="1" customFormat="1" ht="20.5" x14ac:dyDescent="0.2">
      <c r="A35" s="123" t="s">
        <v>410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5"/>
  <sheetViews>
    <sheetView workbookViewId="0">
      <selection activeCell="I16" sqref="I16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7.54296875" style="1" customWidth="1"/>
    <col min="16" max="28" width="7.54296875" customWidth="1"/>
  </cols>
  <sheetData>
    <row r="1" spans="1:28" ht="20.5" x14ac:dyDescent="0.85">
      <c r="A1" s="55" t="s">
        <v>123</v>
      </c>
    </row>
    <row r="2" spans="1:28" ht="5.25" customHeight="1" x14ac:dyDescent="0.25"/>
    <row r="3" spans="1:28" s="1" customFormat="1" ht="22.5" customHeight="1" x14ac:dyDescent="0.2">
      <c r="A3" s="56" t="s">
        <v>90</v>
      </c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  <c r="U3" s="14">
        <v>2017</v>
      </c>
      <c r="V3" s="14">
        <v>2018</v>
      </c>
      <c r="W3" s="14">
        <v>2019</v>
      </c>
      <c r="X3" s="14">
        <v>2020</v>
      </c>
      <c r="Y3" s="14">
        <v>2021</v>
      </c>
      <c r="Z3" s="14">
        <v>2022</v>
      </c>
      <c r="AA3" s="14">
        <v>2023</v>
      </c>
      <c r="AB3" s="14">
        <v>2024</v>
      </c>
    </row>
    <row r="4" spans="1:28" s="1" customFormat="1" ht="17" x14ac:dyDescent="0.2">
      <c r="A4" s="57" t="s">
        <v>91</v>
      </c>
      <c r="B4" s="11">
        <v>2425</v>
      </c>
      <c r="C4" s="11">
        <v>2768</v>
      </c>
      <c r="D4" s="11">
        <v>2721</v>
      </c>
      <c r="E4" s="11">
        <v>3036</v>
      </c>
      <c r="F4" s="11">
        <v>3379</v>
      </c>
      <c r="G4" s="11">
        <v>3258</v>
      </c>
      <c r="H4" s="11">
        <v>3359</v>
      </c>
      <c r="I4" s="11">
        <v>3318</v>
      </c>
      <c r="J4" s="11">
        <v>3286</v>
      </c>
      <c r="K4" s="11">
        <v>3342</v>
      </c>
      <c r="L4" s="11">
        <v>3220</v>
      </c>
    </row>
    <row r="5" spans="1:28" s="1" customFormat="1" ht="17" x14ac:dyDescent="0.2">
      <c r="A5" s="57" t="s">
        <v>92</v>
      </c>
      <c r="B5" s="11">
        <v>3249</v>
      </c>
      <c r="C5" s="11">
        <v>3650</v>
      </c>
      <c r="D5" s="11">
        <v>4104</v>
      </c>
      <c r="E5" s="11">
        <v>4458</v>
      </c>
      <c r="F5" s="11">
        <v>4899</v>
      </c>
      <c r="G5" s="11">
        <v>4764</v>
      </c>
      <c r="H5" s="11">
        <v>5000</v>
      </c>
      <c r="I5" s="11">
        <v>5208</v>
      </c>
      <c r="J5" s="11">
        <v>5308</v>
      </c>
      <c r="K5" s="11">
        <v>5233</v>
      </c>
      <c r="L5" s="11">
        <v>5218</v>
      </c>
    </row>
    <row r="6" spans="1:28" s="1" customFormat="1" ht="17" x14ac:dyDescent="0.2">
      <c r="A6" s="57" t="s">
        <v>93</v>
      </c>
      <c r="B6" s="11">
        <v>6768</v>
      </c>
      <c r="C6" s="11">
        <v>6952</v>
      </c>
      <c r="D6" s="11">
        <v>7082</v>
      </c>
      <c r="E6" s="11">
        <v>7218</v>
      </c>
      <c r="F6" s="11">
        <v>7988</v>
      </c>
      <c r="G6" s="11">
        <v>7882</v>
      </c>
      <c r="H6" s="11">
        <v>7804</v>
      </c>
      <c r="I6" s="11">
        <v>7822</v>
      </c>
      <c r="J6" s="11">
        <v>7845</v>
      </c>
      <c r="K6" s="11">
        <v>7818</v>
      </c>
      <c r="L6" s="11">
        <v>7586</v>
      </c>
    </row>
    <row r="7" spans="1:28" s="1" customFormat="1" ht="17" x14ac:dyDescent="0.2">
      <c r="A7" s="57" t="s">
        <v>94</v>
      </c>
      <c r="B7" s="11">
        <v>1505</v>
      </c>
      <c r="C7" s="11">
        <v>1645</v>
      </c>
      <c r="D7" s="11">
        <v>1724</v>
      </c>
      <c r="E7" s="11">
        <v>1893</v>
      </c>
      <c r="F7" s="11">
        <v>2177</v>
      </c>
      <c r="G7" s="11">
        <v>2131</v>
      </c>
      <c r="H7" s="11">
        <v>2246</v>
      </c>
      <c r="I7" s="11">
        <v>2286</v>
      </c>
      <c r="J7" s="11">
        <v>2261</v>
      </c>
      <c r="K7" s="11">
        <v>2218</v>
      </c>
      <c r="L7" s="11">
        <v>2162</v>
      </c>
    </row>
    <row r="8" spans="1:28" s="1" customFormat="1" ht="17" x14ac:dyDescent="0.2">
      <c r="A8" s="57" t="s">
        <v>95</v>
      </c>
      <c r="B8" s="11">
        <v>2402</v>
      </c>
      <c r="C8" s="11">
        <v>2514</v>
      </c>
      <c r="D8" s="11">
        <v>2730</v>
      </c>
      <c r="E8" s="11">
        <v>3093</v>
      </c>
      <c r="F8" s="11">
        <v>3458</v>
      </c>
      <c r="G8" s="11">
        <v>3263</v>
      </c>
      <c r="H8" s="11">
        <v>3385</v>
      </c>
      <c r="I8" s="11">
        <v>3347</v>
      </c>
      <c r="J8" s="11">
        <v>3232</v>
      </c>
      <c r="K8" s="11">
        <v>3192</v>
      </c>
      <c r="L8" s="11">
        <v>3079</v>
      </c>
    </row>
    <row r="9" spans="1:28" s="1" customFormat="1" ht="17" x14ac:dyDescent="0.2">
      <c r="A9" s="57" t="s">
        <v>96</v>
      </c>
      <c r="B9" s="11">
        <v>2096</v>
      </c>
      <c r="C9" s="11">
        <v>2284</v>
      </c>
      <c r="D9" s="11">
        <v>2434</v>
      </c>
      <c r="E9" s="11">
        <v>2785</v>
      </c>
      <c r="F9" s="11">
        <v>2960</v>
      </c>
      <c r="G9" s="11">
        <v>2911</v>
      </c>
      <c r="H9" s="11">
        <v>3037</v>
      </c>
      <c r="I9" s="11">
        <v>3076</v>
      </c>
      <c r="J9" s="11">
        <v>3197</v>
      </c>
      <c r="K9" s="11">
        <v>3164</v>
      </c>
      <c r="L9" s="11">
        <v>3123</v>
      </c>
    </row>
    <row r="10" spans="1:28" s="1" customFormat="1" ht="17" x14ac:dyDescent="0.2">
      <c r="A10" s="57" t="s">
        <v>97</v>
      </c>
      <c r="B10" s="11">
        <v>2488</v>
      </c>
      <c r="C10" s="11">
        <v>2559</v>
      </c>
      <c r="D10" s="11">
        <v>2678</v>
      </c>
      <c r="E10" s="11">
        <v>2794</v>
      </c>
      <c r="F10" s="11">
        <v>3045</v>
      </c>
      <c r="G10" s="11">
        <v>2880</v>
      </c>
      <c r="H10" s="11">
        <v>2907</v>
      </c>
      <c r="I10" s="11">
        <v>2876</v>
      </c>
      <c r="J10" s="11">
        <v>2826</v>
      </c>
      <c r="K10" s="11">
        <v>2802</v>
      </c>
      <c r="L10" s="11">
        <v>2750</v>
      </c>
    </row>
    <row r="11" spans="1:28" s="1" customFormat="1" ht="17" x14ac:dyDescent="0.2">
      <c r="A11" s="57" t="s">
        <v>98</v>
      </c>
      <c r="B11" s="11">
        <v>4588</v>
      </c>
      <c r="C11" s="11">
        <v>4805</v>
      </c>
      <c r="D11" s="11">
        <v>5091</v>
      </c>
      <c r="E11" s="11">
        <v>5475</v>
      </c>
      <c r="F11" s="11">
        <v>5570</v>
      </c>
      <c r="G11" s="11">
        <v>5355</v>
      </c>
      <c r="H11" s="11">
        <v>5428</v>
      </c>
      <c r="I11" s="11">
        <v>5371</v>
      </c>
      <c r="J11" s="11">
        <v>5304</v>
      </c>
      <c r="K11" s="11">
        <v>5006</v>
      </c>
      <c r="L11" s="11">
        <v>4793</v>
      </c>
    </row>
    <row r="12" spans="1:28" s="1" customFormat="1" ht="17" x14ac:dyDescent="0.2">
      <c r="A12" s="57" t="s">
        <v>99</v>
      </c>
      <c r="B12" s="11">
        <v>308</v>
      </c>
      <c r="C12" s="11">
        <v>313</v>
      </c>
      <c r="D12" s="11">
        <v>359</v>
      </c>
      <c r="E12" s="11">
        <v>459</v>
      </c>
      <c r="F12" s="11">
        <v>520</v>
      </c>
      <c r="G12" s="11">
        <v>607</v>
      </c>
      <c r="H12" s="11">
        <v>629</v>
      </c>
      <c r="I12" s="11">
        <v>631</v>
      </c>
      <c r="J12" s="11">
        <v>688</v>
      </c>
      <c r="K12" s="11">
        <v>718</v>
      </c>
      <c r="L12" s="11">
        <v>737</v>
      </c>
    </row>
    <row r="13" spans="1:28" s="1" customFormat="1" ht="17" x14ac:dyDescent="0.2">
      <c r="A13" s="57" t="s">
        <v>100</v>
      </c>
      <c r="B13" s="11">
        <v>1159</v>
      </c>
      <c r="C13" s="11">
        <v>1199</v>
      </c>
      <c r="D13" s="11">
        <v>1215</v>
      </c>
      <c r="E13" s="11">
        <v>1324</v>
      </c>
      <c r="F13" s="11">
        <v>1442</v>
      </c>
      <c r="G13" s="11">
        <v>1476</v>
      </c>
      <c r="H13" s="11">
        <v>1464</v>
      </c>
      <c r="I13" s="11">
        <v>1524</v>
      </c>
      <c r="J13" s="11">
        <v>1558</v>
      </c>
      <c r="K13" s="11">
        <v>1601</v>
      </c>
      <c r="L13" s="11">
        <v>1675</v>
      </c>
    </row>
    <row r="14" spans="1:28" s="1" customFormat="1" ht="17" x14ac:dyDescent="0.2">
      <c r="A14" s="57" t="s">
        <v>101</v>
      </c>
      <c r="B14" s="11">
        <v>78</v>
      </c>
      <c r="C14" s="11">
        <v>93</v>
      </c>
      <c r="D14" s="11">
        <v>102</v>
      </c>
      <c r="E14" s="11">
        <v>120</v>
      </c>
      <c r="F14" s="11">
        <v>144</v>
      </c>
      <c r="G14" s="11">
        <v>181</v>
      </c>
      <c r="H14" s="11">
        <v>226</v>
      </c>
      <c r="I14" s="11">
        <v>257</v>
      </c>
      <c r="J14" s="11">
        <v>303</v>
      </c>
      <c r="K14" s="11">
        <v>351</v>
      </c>
      <c r="L14" s="11">
        <v>383</v>
      </c>
    </row>
    <row r="15" spans="1:28" s="1" customFormat="1" ht="17" x14ac:dyDescent="0.2">
      <c r="A15" s="57" t="s">
        <v>102</v>
      </c>
      <c r="B15" s="11">
        <v>3011</v>
      </c>
      <c r="C15" s="11">
        <v>3168</v>
      </c>
      <c r="D15" s="11">
        <v>3318</v>
      </c>
      <c r="E15" s="11">
        <v>3530</v>
      </c>
      <c r="F15" s="11">
        <v>3717</v>
      </c>
      <c r="G15" s="11">
        <v>3747</v>
      </c>
      <c r="H15" s="11">
        <v>3765</v>
      </c>
      <c r="I15" s="11">
        <v>3717</v>
      </c>
      <c r="J15" s="11">
        <v>3622</v>
      </c>
      <c r="K15" s="11">
        <v>3440</v>
      </c>
      <c r="L15" s="11">
        <v>3370</v>
      </c>
    </row>
    <row r="16" spans="1:28" s="1" customFormat="1" ht="17" x14ac:dyDescent="0.2">
      <c r="A16" s="57" t="s">
        <v>103</v>
      </c>
      <c r="B16" s="11">
        <v>463</v>
      </c>
      <c r="C16" s="11">
        <v>469</v>
      </c>
      <c r="D16" s="11">
        <v>515</v>
      </c>
      <c r="E16" s="11">
        <v>569</v>
      </c>
      <c r="F16" s="11">
        <v>691</v>
      </c>
      <c r="G16" s="11">
        <v>736</v>
      </c>
      <c r="H16" s="11">
        <v>802</v>
      </c>
      <c r="I16" s="11">
        <v>909</v>
      </c>
      <c r="J16" s="11">
        <v>970</v>
      </c>
      <c r="K16" s="11">
        <v>1031</v>
      </c>
      <c r="L16" s="11">
        <v>1074</v>
      </c>
    </row>
    <row r="17" spans="1:12" s="1" customFormat="1" ht="17" x14ac:dyDescent="0.2">
      <c r="A17" s="57" t="s">
        <v>104</v>
      </c>
      <c r="B17" s="11">
        <v>4109</v>
      </c>
      <c r="C17" s="11">
        <v>4202</v>
      </c>
      <c r="D17" s="11">
        <v>4350</v>
      </c>
      <c r="E17" s="11">
        <v>4844</v>
      </c>
      <c r="F17" s="11">
        <v>5274</v>
      </c>
      <c r="G17" s="11">
        <v>5204</v>
      </c>
      <c r="H17" s="11">
        <v>5202</v>
      </c>
      <c r="I17" s="11">
        <v>5322</v>
      </c>
      <c r="J17" s="11">
        <v>5305</v>
      </c>
      <c r="K17" s="11">
        <v>5081</v>
      </c>
      <c r="L17" s="11">
        <v>4969</v>
      </c>
    </row>
    <row r="18" spans="1:12" s="1" customFormat="1" ht="17" x14ac:dyDescent="0.2">
      <c r="A18" s="57" t="s">
        <v>105</v>
      </c>
      <c r="B18" s="11">
        <v>1468</v>
      </c>
      <c r="C18" s="11">
        <v>1500</v>
      </c>
      <c r="D18" s="11">
        <v>1587</v>
      </c>
      <c r="E18" s="11">
        <v>1790</v>
      </c>
      <c r="F18" s="11">
        <v>2001</v>
      </c>
      <c r="G18" s="11">
        <v>2024</v>
      </c>
      <c r="H18" s="11">
        <v>2079</v>
      </c>
      <c r="I18" s="11">
        <v>2126</v>
      </c>
      <c r="J18" s="11">
        <v>2119</v>
      </c>
      <c r="K18" s="11">
        <v>2031</v>
      </c>
      <c r="L18" s="11">
        <v>1970</v>
      </c>
    </row>
    <row r="19" spans="1:12" s="1" customFormat="1" ht="17" x14ac:dyDescent="0.2">
      <c r="A19" s="57" t="s">
        <v>106</v>
      </c>
      <c r="B19" s="11">
        <v>232</v>
      </c>
      <c r="C19" s="11">
        <v>245</v>
      </c>
      <c r="D19" s="11">
        <v>296</v>
      </c>
      <c r="E19" s="11">
        <v>314</v>
      </c>
      <c r="F19" s="11">
        <v>357</v>
      </c>
      <c r="G19" s="11">
        <v>413</v>
      </c>
      <c r="H19" s="11">
        <v>453</v>
      </c>
      <c r="I19" s="11">
        <v>504</v>
      </c>
      <c r="J19" s="11">
        <v>570</v>
      </c>
      <c r="K19" s="11">
        <v>639</v>
      </c>
      <c r="L19" s="11">
        <v>704</v>
      </c>
    </row>
    <row r="20" spans="1:12" s="1" customFormat="1" ht="17" x14ac:dyDescent="0.2">
      <c r="A20" s="57" t="s">
        <v>107</v>
      </c>
      <c r="B20" s="11">
        <v>2484</v>
      </c>
      <c r="C20" s="11">
        <v>2669</v>
      </c>
      <c r="D20" s="11">
        <v>2661</v>
      </c>
      <c r="E20" s="11">
        <v>2912</v>
      </c>
      <c r="F20" s="11">
        <v>3379</v>
      </c>
      <c r="G20" s="11">
        <v>3575</v>
      </c>
      <c r="H20" s="11">
        <v>3720</v>
      </c>
      <c r="I20" s="11">
        <v>3731</v>
      </c>
      <c r="J20" s="11">
        <v>3693</v>
      </c>
      <c r="K20" s="11">
        <v>3828</v>
      </c>
      <c r="L20" s="11">
        <v>3921</v>
      </c>
    </row>
    <row r="21" spans="1:12" s="1" customFormat="1" ht="17" x14ac:dyDescent="0.2">
      <c r="A21" s="57" t="s">
        <v>108</v>
      </c>
      <c r="B21" s="11">
        <v>553</v>
      </c>
      <c r="C21" s="11">
        <v>586</v>
      </c>
      <c r="D21" s="11">
        <v>620</v>
      </c>
      <c r="E21" s="11">
        <v>689</v>
      </c>
      <c r="F21" s="11">
        <v>769</v>
      </c>
      <c r="G21" s="11">
        <v>764</v>
      </c>
      <c r="H21" s="11">
        <v>769</v>
      </c>
      <c r="I21" s="11">
        <v>810</v>
      </c>
      <c r="J21" s="11">
        <v>803</v>
      </c>
      <c r="K21" s="11">
        <v>797</v>
      </c>
      <c r="L21" s="11">
        <v>759</v>
      </c>
    </row>
    <row r="22" spans="1:12" s="1" customFormat="1" ht="17" x14ac:dyDescent="0.2">
      <c r="A22" s="57" t="s">
        <v>109</v>
      </c>
      <c r="B22" s="11">
        <v>348</v>
      </c>
      <c r="C22" s="11">
        <v>370</v>
      </c>
      <c r="D22" s="11">
        <v>399</v>
      </c>
      <c r="E22" s="11">
        <v>479</v>
      </c>
      <c r="F22" s="11">
        <v>545</v>
      </c>
      <c r="G22" s="11">
        <v>557</v>
      </c>
      <c r="H22" s="11">
        <v>616</v>
      </c>
      <c r="I22" s="11">
        <v>670</v>
      </c>
      <c r="J22" s="11">
        <v>714</v>
      </c>
      <c r="K22" s="11">
        <v>739</v>
      </c>
      <c r="L22" s="11">
        <v>771</v>
      </c>
    </row>
    <row r="23" spans="1:12" s="1" customFormat="1" ht="17" x14ac:dyDescent="0.2">
      <c r="A23" s="57" t="s">
        <v>110</v>
      </c>
      <c r="B23" s="11">
        <v>2037</v>
      </c>
      <c r="C23" s="11">
        <v>2184</v>
      </c>
      <c r="D23" s="11">
        <v>2276</v>
      </c>
      <c r="E23" s="11">
        <v>2452</v>
      </c>
      <c r="F23" s="11">
        <v>2647</v>
      </c>
      <c r="G23" s="11">
        <v>2589</v>
      </c>
      <c r="H23" s="11">
        <v>2578</v>
      </c>
      <c r="I23" s="11">
        <v>2585</v>
      </c>
      <c r="J23" s="11">
        <v>2571</v>
      </c>
      <c r="K23" s="11">
        <v>2453</v>
      </c>
      <c r="L23" s="11">
        <v>2366</v>
      </c>
    </row>
    <row r="24" spans="1:12" s="1" customFormat="1" ht="17" x14ac:dyDescent="0.2">
      <c r="A24" s="57" t="s">
        <v>111</v>
      </c>
      <c r="B24" s="11">
        <v>3507</v>
      </c>
      <c r="C24" s="11">
        <v>3989</v>
      </c>
      <c r="D24" s="11">
        <v>4148</v>
      </c>
      <c r="E24" s="11">
        <v>4343</v>
      </c>
      <c r="F24" s="11">
        <v>4608</v>
      </c>
      <c r="G24" s="11">
        <v>4449</v>
      </c>
      <c r="H24" s="11">
        <v>4231</v>
      </c>
      <c r="I24" s="11">
        <v>4187</v>
      </c>
      <c r="J24" s="11">
        <v>4251</v>
      </c>
      <c r="K24" s="11">
        <v>4222</v>
      </c>
      <c r="L24" s="11">
        <v>4174</v>
      </c>
    </row>
    <row r="25" spans="1:12" s="1" customFormat="1" ht="17" x14ac:dyDescent="0.2">
      <c r="A25" s="57" t="s">
        <v>112</v>
      </c>
      <c r="D25" s="11">
        <v>317</v>
      </c>
      <c r="E25" s="11">
        <v>573</v>
      </c>
      <c r="F25" s="11">
        <v>737</v>
      </c>
      <c r="G25" s="11">
        <v>750</v>
      </c>
      <c r="H25" s="11">
        <v>858</v>
      </c>
      <c r="I25" s="11">
        <v>916</v>
      </c>
      <c r="J25" s="11">
        <v>991</v>
      </c>
      <c r="K25" s="11">
        <v>1060</v>
      </c>
      <c r="L25" s="11">
        <v>1088</v>
      </c>
    </row>
    <row r="26" spans="1:12" s="1" customFormat="1" ht="17" x14ac:dyDescent="0.2">
      <c r="A26" s="57" t="s">
        <v>113</v>
      </c>
      <c r="B26" s="11">
        <v>127</v>
      </c>
      <c r="C26" s="11">
        <v>137</v>
      </c>
      <c r="D26" s="11">
        <v>151</v>
      </c>
      <c r="E26" s="11">
        <v>176</v>
      </c>
      <c r="F26" s="11">
        <v>182</v>
      </c>
      <c r="G26" s="11">
        <v>170</v>
      </c>
      <c r="H26" s="11">
        <v>183</v>
      </c>
      <c r="I26" s="11">
        <v>187</v>
      </c>
      <c r="J26" s="11">
        <v>191</v>
      </c>
      <c r="K26" s="11">
        <v>184</v>
      </c>
      <c r="L26" s="11">
        <v>177</v>
      </c>
    </row>
    <row r="27" spans="1:12" s="1" customFormat="1" ht="17" x14ac:dyDescent="0.2">
      <c r="A27" s="57" t="s">
        <v>114</v>
      </c>
      <c r="B27" s="11">
        <v>38</v>
      </c>
      <c r="C27" s="11">
        <v>69</v>
      </c>
      <c r="D27" s="11">
        <v>82</v>
      </c>
      <c r="E27" s="11">
        <v>122</v>
      </c>
      <c r="F27" s="11">
        <v>209</v>
      </c>
      <c r="G27" s="11">
        <v>211</v>
      </c>
      <c r="H27" s="11">
        <v>244</v>
      </c>
      <c r="I27" s="11">
        <v>268</v>
      </c>
      <c r="J27" s="11">
        <v>293</v>
      </c>
      <c r="K27" s="11">
        <v>299</v>
      </c>
      <c r="L27" s="11">
        <v>315</v>
      </c>
    </row>
    <row r="28" spans="1:12" s="1" customFormat="1" ht="17" x14ac:dyDescent="0.2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s="1" customFormat="1" ht="17" x14ac:dyDescent="0.2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1" customFormat="1" ht="17" x14ac:dyDescent="0.2">
      <c r="A30" s="60" t="s">
        <v>83</v>
      </c>
      <c r="B30" s="11">
        <v>45443</v>
      </c>
      <c r="C30" s="11">
        <v>48370</v>
      </c>
      <c r="D30" s="11">
        <v>50960</v>
      </c>
      <c r="E30" s="11">
        <v>55448</v>
      </c>
      <c r="F30" s="11">
        <v>60698</v>
      </c>
      <c r="G30" s="11">
        <v>59897</v>
      </c>
      <c r="H30" s="11">
        <v>60985</v>
      </c>
      <c r="I30" s="11">
        <v>61648</v>
      </c>
      <c r="J30" s="11">
        <v>61901</v>
      </c>
      <c r="K30" s="11">
        <v>61249</v>
      </c>
      <c r="L30" s="11">
        <v>60384</v>
      </c>
    </row>
    <row r="31" spans="1:12" s="1" customFormat="1" ht="17" x14ac:dyDescent="0.2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s="1" customFormat="1" ht="17" x14ac:dyDescent="0.2">
      <c r="A32" s="58" t="s">
        <v>116</v>
      </c>
      <c r="B32" s="11">
        <v>11081</v>
      </c>
      <c r="C32" s="11">
        <v>11742</v>
      </c>
      <c r="D32" s="11">
        <v>9119</v>
      </c>
      <c r="E32" s="11">
        <v>9764</v>
      </c>
      <c r="F32" s="11">
        <v>10385</v>
      </c>
      <c r="G32" s="11">
        <v>10205</v>
      </c>
      <c r="H32" s="11">
        <v>10297</v>
      </c>
      <c r="I32" s="11">
        <v>10330</v>
      </c>
      <c r="J32" s="11">
        <v>10240</v>
      </c>
      <c r="K32" s="11">
        <v>10011</v>
      </c>
      <c r="L32" s="11">
        <v>9855</v>
      </c>
    </row>
    <row r="33" spans="1:28" s="1" customFormat="1" ht="17" x14ac:dyDescent="0.2">
      <c r="A33" s="58" t="s">
        <v>117</v>
      </c>
      <c r="B33" s="11">
        <v>31303</v>
      </c>
      <c r="C33" s="11">
        <v>32990</v>
      </c>
      <c r="D33" s="11">
        <v>40790</v>
      </c>
      <c r="E33" s="11">
        <v>44267</v>
      </c>
      <c r="F33" s="11">
        <v>48551</v>
      </c>
      <c r="G33" s="11">
        <v>47702</v>
      </c>
      <c r="H33" s="11">
        <v>48426</v>
      </c>
      <c r="I33" s="11">
        <v>48826</v>
      </c>
      <c r="J33" s="11">
        <v>48918</v>
      </c>
      <c r="K33" s="11">
        <v>48406</v>
      </c>
      <c r="L33" s="11">
        <v>47468</v>
      </c>
    </row>
    <row r="34" spans="1:28" s="1" customFormat="1" ht="17" x14ac:dyDescent="0.2">
      <c r="A34" s="59" t="s">
        <v>118</v>
      </c>
      <c r="B34" s="13">
        <v>3059</v>
      </c>
      <c r="C34" s="13">
        <v>3638</v>
      </c>
      <c r="D34" s="13">
        <v>1051</v>
      </c>
      <c r="E34" s="13">
        <v>1417</v>
      </c>
      <c r="F34" s="13">
        <v>1762</v>
      </c>
      <c r="G34" s="13">
        <v>1990</v>
      </c>
      <c r="H34" s="13">
        <v>2262</v>
      </c>
      <c r="I34" s="13">
        <v>2492</v>
      </c>
      <c r="J34" s="13">
        <v>2743</v>
      </c>
      <c r="K34" s="13">
        <v>2832</v>
      </c>
      <c r="L34" s="13">
        <v>3061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s="1" customFormat="1" ht="20.5" x14ac:dyDescent="0.2">
      <c r="A35" s="123" t="s">
        <v>410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41"/>
  <sheetViews>
    <sheetView zoomScale="145" zoomScaleNormal="145" workbookViewId="0">
      <selection activeCell="A35" sqref="A35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8" style="1" customWidth="1"/>
    <col min="16" max="28" width="8" customWidth="1"/>
  </cols>
  <sheetData>
    <row r="1" spans="1:28" ht="20.5" x14ac:dyDescent="0.85">
      <c r="A1" s="55" t="s">
        <v>124</v>
      </c>
    </row>
    <row r="2" spans="1:28" ht="7.5" customHeight="1" x14ac:dyDescent="0.25"/>
    <row r="3" spans="1:28" s="1" customFormat="1" ht="24.75" customHeight="1" x14ac:dyDescent="0.2">
      <c r="A3" s="56" t="s">
        <v>90</v>
      </c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  <c r="U3" s="14">
        <v>2017</v>
      </c>
      <c r="V3" s="14">
        <v>2018</v>
      </c>
      <c r="W3" s="14">
        <v>2019</v>
      </c>
      <c r="X3" s="14">
        <v>2020</v>
      </c>
      <c r="Y3" s="14">
        <v>2021</v>
      </c>
      <c r="Z3" s="14">
        <v>2022</v>
      </c>
      <c r="AA3" s="14">
        <v>2023</v>
      </c>
      <c r="AB3" s="14">
        <v>2024</v>
      </c>
    </row>
    <row r="4" spans="1:28" s="1" customFormat="1" ht="17" x14ac:dyDescent="0.2">
      <c r="A4" s="57" t="s">
        <v>91</v>
      </c>
      <c r="B4" s="11">
        <v>263</v>
      </c>
      <c r="C4" s="11">
        <v>282</v>
      </c>
      <c r="D4" s="11">
        <v>318</v>
      </c>
      <c r="E4" s="11">
        <v>357</v>
      </c>
      <c r="F4" s="11">
        <v>393</v>
      </c>
      <c r="G4" s="11">
        <v>474</v>
      </c>
      <c r="H4" s="11">
        <v>541</v>
      </c>
      <c r="I4" s="11">
        <v>663</v>
      </c>
      <c r="J4" s="11">
        <v>747</v>
      </c>
      <c r="K4" s="11">
        <v>76</v>
      </c>
      <c r="L4" s="11">
        <v>909</v>
      </c>
    </row>
    <row r="5" spans="1:28" s="1" customFormat="1" ht="17" x14ac:dyDescent="0.2">
      <c r="A5" s="57" t="s">
        <v>92</v>
      </c>
      <c r="B5" s="11">
        <v>563</v>
      </c>
      <c r="C5" s="11">
        <v>542</v>
      </c>
      <c r="D5" s="11">
        <v>568</v>
      </c>
      <c r="E5" s="11">
        <v>635</v>
      </c>
      <c r="F5" s="11">
        <v>748</v>
      </c>
      <c r="G5" s="11">
        <v>838</v>
      </c>
      <c r="H5" s="11">
        <v>917</v>
      </c>
      <c r="I5" s="11">
        <v>1014</v>
      </c>
      <c r="J5" s="11">
        <v>1094</v>
      </c>
      <c r="K5" s="11">
        <v>82</v>
      </c>
      <c r="L5" s="11">
        <v>1312</v>
      </c>
    </row>
    <row r="6" spans="1:28" s="1" customFormat="1" ht="17" x14ac:dyDescent="0.2">
      <c r="A6" s="57" t="s">
        <v>93</v>
      </c>
      <c r="B6" s="11">
        <v>961</v>
      </c>
      <c r="C6" s="11">
        <v>950</v>
      </c>
      <c r="D6" s="11">
        <v>1007</v>
      </c>
      <c r="E6" s="11">
        <v>1123</v>
      </c>
      <c r="F6" s="11">
        <v>1205</v>
      </c>
      <c r="G6" s="11">
        <v>1354</v>
      </c>
      <c r="H6" s="11">
        <v>1472</v>
      </c>
      <c r="I6" s="11">
        <v>1557</v>
      </c>
      <c r="J6" s="11">
        <v>1671</v>
      </c>
      <c r="K6" s="11">
        <v>113</v>
      </c>
      <c r="L6" s="11">
        <v>1943</v>
      </c>
    </row>
    <row r="7" spans="1:28" s="1" customFormat="1" ht="17" x14ac:dyDescent="0.2">
      <c r="A7" s="57" t="s">
        <v>94</v>
      </c>
      <c r="B7" s="11">
        <v>170</v>
      </c>
      <c r="C7" s="11">
        <v>178</v>
      </c>
      <c r="D7" s="11">
        <v>181</v>
      </c>
      <c r="E7" s="11">
        <v>223</v>
      </c>
      <c r="F7" s="11">
        <v>258</v>
      </c>
      <c r="G7" s="11">
        <v>314</v>
      </c>
      <c r="H7" s="11">
        <v>371</v>
      </c>
      <c r="I7" s="11">
        <v>459</v>
      </c>
      <c r="J7" s="11">
        <v>526</v>
      </c>
      <c r="K7" s="11">
        <v>41</v>
      </c>
      <c r="L7" s="11">
        <v>617</v>
      </c>
    </row>
    <row r="8" spans="1:28" s="1" customFormat="1" ht="17" x14ac:dyDescent="0.2">
      <c r="A8" s="57" t="s">
        <v>95</v>
      </c>
      <c r="B8" s="11">
        <v>322</v>
      </c>
      <c r="C8" s="11">
        <v>340</v>
      </c>
      <c r="D8" s="11">
        <v>359</v>
      </c>
      <c r="E8" s="11">
        <v>385</v>
      </c>
      <c r="F8" s="11">
        <v>444</v>
      </c>
      <c r="G8" s="11">
        <v>494</v>
      </c>
      <c r="H8" s="11">
        <v>584</v>
      </c>
      <c r="I8" s="11">
        <v>659</v>
      </c>
      <c r="J8" s="11">
        <v>716</v>
      </c>
      <c r="K8" s="11">
        <v>53</v>
      </c>
      <c r="L8" s="11">
        <v>777</v>
      </c>
    </row>
    <row r="9" spans="1:28" s="1" customFormat="1" ht="17" x14ac:dyDescent="0.2">
      <c r="A9" s="57" t="s">
        <v>96</v>
      </c>
      <c r="B9" s="11">
        <v>293</v>
      </c>
      <c r="C9" s="11">
        <v>295</v>
      </c>
      <c r="D9" s="11">
        <v>342</v>
      </c>
      <c r="E9" s="11">
        <v>388</v>
      </c>
      <c r="F9" s="11">
        <v>437</v>
      </c>
      <c r="G9" s="11">
        <v>496</v>
      </c>
      <c r="H9" s="11">
        <v>552</v>
      </c>
      <c r="I9" s="11">
        <v>620</v>
      </c>
      <c r="J9" s="11">
        <v>706</v>
      </c>
      <c r="K9" s="11">
        <v>83</v>
      </c>
      <c r="L9" s="11">
        <v>830</v>
      </c>
    </row>
    <row r="10" spans="1:28" s="1" customFormat="1" ht="17" x14ac:dyDescent="0.2">
      <c r="A10" s="57" t="s">
        <v>97</v>
      </c>
      <c r="B10" s="11">
        <v>314</v>
      </c>
      <c r="C10" s="11">
        <v>350</v>
      </c>
      <c r="D10" s="11">
        <v>390</v>
      </c>
      <c r="E10" s="11">
        <v>454</v>
      </c>
      <c r="F10" s="11">
        <v>534</v>
      </c>
      <c r="G10" s="11">
        <v>649</v>
      </c>
      <c r="H10" s="11">
        <v>703</v>
      </c>
      <c r="I10" s="11">
        <v>792</v>
      </c>
      <c r="J10" s="11">
        <v>866</v>
      </c>
      <c r="K10" s="11">
        <v>62</v>
      </c>
      <c r="L10" s="11">
        <v>983</v>
      </c>
    </row>
    <row r="11" spans="1:28" s="1" customFormat="1" ht="17" x14ac:dyDescent="0.2">
      <c r="A11" s="57" t="s">
        <v>98</v>
      </c>
      <c r="B11" s="11">
        <v>892</v>
      </c>
      <c r="C11" s="11">
        <v>898</v>
      </c>
      <c r="D11" s="11">
        <v>951</v>
      </c>
      <c r="E11" s="11">
        <v>999</v>
      </c>
      <c r="F11" s="11">
        <v>1104</v>
      </c>
      <c r="G11" s="11">
        <v>1217</v>
      </c>
      <c r="H11" s="11">
        <v>1306</v>
      </c>
      <c r="I11" s="11">
        <v>1532</v>
      </c>
      <c r="J11" s="11">
        <v>1770</v>
      </c>
      <c r="K11" s="11">
        <v>121</v>
      </c>
      <c r="L11" s="11">
        <v>2052</v>
      </c>
    </row>
    <row r="12" spans="1:28" s="1" customFormat="1" ht="17" x14ac:dyDescent="0.2">
      <c r="A12" s="57" t="s">
        <v>99</v>
      </c>
      <c r="B12" s="11">
        <v>22</v>
      </c>
      <c r="C12" s="11">
        <v>24</v>
      </c>
      <c r="D12" s="11">
        <v>28</v>
      </c>
      <c r="E12" s="11">
        <v>33</v>
      </c>
      <c r="F12" s="11">
        <v>39</v>
      </c>
      <c r="G12" s="11">
        <v>51</v>
      </c>
      <c r="H12" s="11">
        <v>69</v>
      </c>
      <c r="I12" s="11">
        <v>86</v>
      </c>
      <c r="J12" s="11">
        <v>104</v>
      </c>
      <c r="K12" s="11">
        <v>22</v>
      </c>
      <c r="L12" s="11">
        <v>152</v>
      </c>
    </row>
    <row r="13" spans="1:28" s="1" customFormat="1" ht="17" x14ac:dyDescent="0.2">
      <c r="A13" s="57" t="s">
        <v>100</v>
      </c>
      <c r="B13" s="11">
        <v>155</v>
      </c>
      <c r="C13" s="11">
        <v>145</v>
      </c>
      <c r="D13" s="11">
        <v>153</v>
      </c>
      <c r="E13" s="11">
        <v>186</v>
      </c>
      <c r="F13" s="11">
        <v>201</v>
      </c>
      <c r="G13" s="11">
        <v>233</v>
      </c>
      <c r="H13" s="11">
        <v>256</v>
      </c>
      <c r="I13" s="11">
        <v>280</v>
      </c>
      <c r="J13" s="11">
        <v>317</v>
      </c>
      <c r="K13" s="11">
        <v>42</v>
      </c>
      <c r="L13" s="11">
        <v>376</v>
      </c>
    </row>
    <row r="14" spans="1:28" s="1" customFormat="1" ht="17" x14ac:dyDescent="0.2">
      <c r="A14" s="57" t="s">
        <v>101</v>
      </c>
      <c r="B14" s="11">
        <v>8</v>
      </c>
      <c r="C14" s="11">
        <v>8</v>
      </c>
      <c r="D14" s="11">
        <v>9</v>
      </c>
      <c r="E14" s="11">
        <v>9</v>
      </c>
      <c r="F14" s="11">
        <v>11</v>
      </c>
      <c r="G14" s="11">
        <v>13</v>
      </c>
      <c r="H14" s="11">
        <v>16</v>
      </c>
      <c r="I14" s="11">
        <v>22</v>
      </c>
      <c r="J14" s="11">
        <v>28</v>
      </c>
      <c r="K14" s="11">
        <v>6</v>
      </c>
      <c r="L14" s="11">
        <v>38</v>
      </c>
    </row>
    <row r="15" spans="1:28" s="1" customFormat="1" ht="17" x14ac:dyDescent="0.2">
      <c r="A15" s="57" t="s">
        <v>102</v>
      </c>
      <c r="B15" s="11">
        <v>1369</v>
      </c>
      <c r="C15" s="11">
        <v>1369</v>
      </c>
      <c r="D15" s="11">
        <v>1344</v>
      </c>
      <c r="E15" s="11">
        <v>1498</v>
      </c>
      <c r="F15" s="11">
        <v>1555</v>
      </c>
      <c r="G15" s="11">
        <v>1628</v>
      </c>
      <c r="H15" s="11">
        <v>1719</v>
      </c>
      <c r="I15" s="11">
        <v>1758</v>
      </c>
      <c r="J15" s="11">
        <v>1909</v>
      </c>
      <c r="K15" s="11">
        <v>35</v>
      </c>
      <c r="L15" s="11">
        <v>2002</v>
      </c>
    </row>
    <row r="16" spans="1:28" s="1" customFormat="1" ht="17" x14ac:dyDescent="0.2">
      <c r="A16" s="57" t="s">
        <v>103</v>
      </c>
      <c r="B16" s="11">
        <v>30</v>
      </c>
      <c r="C16" s="11">
        <v>38</v>
      </c>
      <c r="D16" s="11">
        <v>39</v>
      </c>
      <c r="E16" s="11">
        <v>47</v>
      </c>
      <c r="F16" s="11">
        <v>54</v>
      </c>
      <c r="G16" s="11">
        <v>66</v>
      </c>
      <c r="H16" s="11">
        <v>81</v>
      </c>
      <c r="I16" s="11">
        <v>98</v>
      </c>
      <c r="J16" s="11">
        <v>121</v>
      </c>
      <c r="K16" s="11">
        <v>25</v>
      </c>
      <c r="L16" s="11">
        <v>169</v>
      </c>
    </row>
    <row r="17" spans="1:12" s="1" customFormat="1" ht="17" x14ac:dyDescent="0.2">
      <c r="A17" s="57" t="s">
        <v>104</v>
      </c>
      <c r="B17" s="11">
        <v>679</v>
      </c>
      <c r="C17" s="11">
        <v>696</v>
      </c>
      <c r="D17" s="11">
        <v>745</v>
      </c>
      <c r="E17" s="11">
        <v>804</v>
      </c>
      <c r="F17" s="11">
        <v>898</v>
      </c>
      <c r="G17" s="11">
        <v>932</v>
      </c>
      <c r="H17" s="11">
        <v>1016</v>
      </c>
      <c r="I17" s="11">
        <v>1148</v>
      </c>
      <c r="J17" s="11">
        <v>1254</v>
      </c>
      <c r="K17" s="11">
        <v>91</v>
      </c>
      <c r="L17" s="11">
        <v>1375</v>
      </c>
    </row>
    <row r="18" spans="1:12" s="1" customFormat="1" ht="17" x14ac:dyDescent="0.2">
      <c r="A18" s="57" t="s">
        <v>105</v>
      </c>
      <c r="B18" s="11">
        <v>167</v>
      </c>
      <c r="C18" s="11">
        <v>174</v>
      </c>
      <c r="D18" s="11">
        <v>200</v>
      </c>
      <c r="E18" s="11">
        <v>237</v>
      </c>
      <c r="F18" s="11">
        <v>264</v>
      </c>
      <c r="G18" s="11">
        <v>308</v>
      </c>
      <c r="H18" s="11">
        <v>353</v>
      </c>
      <c r="I18" s="11">
        <v>388</v>
      </c>
      <c r="J18" s="11">
        <v>437</v>
      </c>
      <c r="K18" s="11">
        <v>32</v>
      </c>
      <c r="L18" s="11">
        <v>556</v>
      </c>
    </row>
    <row r="19" spans="1:12" s="1" customFormat="1" ht="17" x14ac:dyDescent="0.2">
      <c r="A19" s="57" t="s">
        <v>106</v>
      </c>
      <c r="B19" s="11">
        <v>13</v>
      </c>
      <c r="C19" s="11">
        <v>14</v>
      </c>
      <c r="D19" s="11">
        <v>14</v>
      </c>
      <c r="E19" s="11">
        <v>15</v>
      </c>
      <c r="F19" s="11">
        <v>18</v>
      </c>
      <c r="G19" s="11">
        <v>24</v>
      </c>
      <c r="H19" s="11">
        <v>35</v>
      </c>
      <c r="I19" s="11">
        <v>47</v>
      </c>
      <c r="J19" s="11">
        <v>53</v>
      </c>
      <c r="K19" s="11">
        <v>6</v>
      </c>
      <c r="L19" s="11">
        <v>73</v>
      </c>
    </row>
    <row r="20" spans="1:12" s="1" customFormat="1" ht="17" x14ac:dyDescent="0.2">
      <c r="A20" s="57" t="s">
        <v>107</v>
      </c>
      <c r="B20" s="11">
        <v>254</v>
      </c>
      <c r="C20" s="11">
        <v>260</v>
      </c>
      <c r="D20" s="11">
        <v>277</v>
      </c>
      <c r="E20" s="11">
        <v>313</v>
      </c>
      <c r="F20" s="11">
        <v>386</v>
      </c>
      <c r="G20" s="11">
        <v>498</v>
      </c>
      <c r="H20" s="11">
        <v>574</v>
      </c>
      <c r="I20" s="11">
        <v>634</v>
      </c>
      <c r="J20" s="11">
        <v>675</v>
      </c>
      <c r="K20" s="11">
        <v>37</v>
      </c>
      <c r="L20" s="11">
        <v>899</v>
      </c>
    </row>
    <row r="21" spans="1:12" s="1" customFormat="1" ht="17" x14ac:dyDescent="0.2">
      <c r="A21" s="57" t="s">
        <v>108</v>
      </c>
      <c r="B21" s="11">
        <v>107</v>
      </c>
      <c r="C21" s="11">
        <v>118</v>
      </c>
      <c r="D21" s="11">
        <v>114</v>
      </c>
      <c r="E21" s="11">
        <v>129</v>
      </c>
      <c r="F21" s="11">
        <v>145</v>
      </c>
      <c r="G21" s="11">
        <v>168</v>
      </c>
      <c r="H21" s="11">
        <v>183</v>
      </c>
      <c r="I21" s="11">
        <v>206</v>
      </c>
      <c r="J21" s="11">
        <v>231</v>
      </c>
      <c r="K21" s="11">
        <v>19</v>
      </c>
      <c r="L21" s="11">
        <v>270</v>
      </c>
    </row>
    <row r="22" spans="1:12" s="1" customFormat="1" ht="17" x14ac:dyDescent="0.2">
      <c r="A22" s="57" t="s">
        <v>109</v>
      </c>
      <c r="B22" s="11">
        <v>29</v>
      </c>
      <c r="C22" s="11">
        <v>31</v>
      </c>
      <c r="D22" s="11">
        <v>36</v>
      </c>
      <c r="E22" s="11">
        <v>37</v>
      </c>
      <c r="F22" s="11">
        <v>43</v>
      </c>
      <c r="G22" s="11">
        <v>49</v>
      </c>
      <c r="H22" s="11">
        <v>66</v>
      </c>
      <c r="I22" s="11">
        <v>87</v>
      </c>
      <c r="J22" s="11">
        <v>97</v>
      </c>
      <c r="K22" s="11">
        <v>12</v>
      </c>
      <c r="L22" s="11">
        <v>127</v>
      </c>
    </row>
    <row r="23" spans="1:12" s="1" customFormat="1" ht="17" x14ac:dyDescent="0.2">
      <c r="A23" s="57" t="s">
        <v>110</v>
      </c>
      <c r="B23" s="11">
        <v>335</v>
      </c>
      <c r="C23" s="11">
        <v>350</v>
      </c>
      <c r="D23" s="11">
        <v>393</v>
      </c>
      <c r="E23" s="11">
        <v>426</v>
      </c>
      <c r="F23" s="11">
        <v>482</v>
      </c>
      <c r="G23" s="11">
        <v>516</v>
      </c>
      <c r="H23" s="11">
        <v>580</v>
      </c>
      <c r="I23" s="11">
        <v>652</v>
      </c>
      <c r="J23" s="11">
        <v>718</v>
      </c>
      <c r="K23" s="11">
        <v>51</v>
      </c>
      <c r="L23" s="11">
        <v>831</v>
      </c>
    </row>
    <row r="24" spans="1:12" s="1" customFormat="1" ht="17" x14ac:dyDescent="0.2">
      <c r="A24" s="57" t="s">
        <v>111</v>
      </c>
      <c r="B24" s="11">
        <v>615</v>
      </c>
      <c r="C24" s="11">
        <v>678</v>
      </c>
      <c r="D24" s="11">
        <v>702</v>
      </c>
      <c r="E24" s="11">
        <v>811</v>
      </c>
      <c r="F24" s="11">
        <v>949</v>
      </c>
      <c r="G24" s="11">
        <v>1111</v>
      </c>
      <c r="H24" s="11">
        <v>1220</v>
      </c>
      <c r="I24" s="11">
        <v>1402</v>
      </c>
      <c r="J24" s="11">
        <v>1551</v>
      </c>
      <c r="K24" s="11">
        <v>91</v>
      </c>
      <c r="L24" s="11">
        <v>1685</v>
      </c>
    </row>
    <row r="25" spans="1:12" s="1" customFormat="1" ht="17" x14ac:dyDescent="0.2">
      <c r="A25" s="57" t="s">
        <v>112</v>
      </c>
      <c r="D25" s="11">
        <v>18</v>
      </c>
      <c r="E25" s="11">
        <v>19</v>
      </c>
      <c r="F25" s="11">
        <v>25</v>
      </c>
      <c r="G25" s="11">
        <v>39</v>
      </c>
      <c r="H25" s="11">
        <v>58</v>
      </c>
      <c r="I25" s="11">
        <v>77</v>
      </c>
      <c r="J25" s="11">
        <v>97</v>
      </c>
      <c r="K25" s="11">
        <v>19</v>
      </c>
      <c r="L25" s="11">
        <v>165</v>
      </c>
    </row>
    <row r="26" spans="1:12" s="1" customFormat="1" ht="17" x14ac:dyDescent="0.2">
      <c r="A26" s="57" t="s">
        <v>113</v>
      </c>
      <c r="B26" s="11">
        <v>16</v>
      </c>
      <c r="C26" s="11">
        <v>18</v>
      </c>
      <c r="D26" s="11">
        <v>18</v>
      </c>
      <c r="E26" s="11">
        <v>21</v>
      </c>
      <c r="F26" s="11">
        <v>29</v>
      </c>
      <c r="G26" s="11">
        <v>31</v>
      </c>
      <c r="H26" s="11">
        <v>33</v>
      </c>
      <c r="I26" s="11">
        <v>38</v>
      </c>
      <c r="J26" s="11">
        <v>45</v>
      </c>
      <c r="K26" s="11">
        <v>4</v>
      </c>
      <c r="L26" s="11">
        <v>59</v>
      </c>
    </row>
    <row r="27" spans="1:12" s="1" customFormat="1" ht="17" x14ac:dyDescent="0.2">
      <c r="A27" s="57" t="s">
        <v>114</v>
      </c>
      <c r="B27" s="11">
        <v>2</v>
      </c>
      <c r="C27" s="11">
        <v>5</v>
      </c>
      <c r="D27" s="11">
        <v>7</v>
      </c>
      <c r="E27" s="11">
        <v>10</v>
      </c>
      <c r="F27" s="11">
        <v>16</v>
      </c>
      <c r="G27" s="11">
        <v>17</v>
      </c>
      <c r="H27" s="11">
        <v>26</v>
      </c>
      <c r="I27" s="11">
        <v>38</v>
      </c>
      <c r="J27" s="11">
        <v>46</v>
      </c>
      <c r="K27" s="11">
        <v>6</v>
      </c>
      <c r="L27" s="11">
        <v>68</v>
      </c>
    </row>
    <row r="28" spans="1:12" s="1" customFormat="1" ht="17" x14ac:dyDescent="0.2">
      <c r="A28" s="57" t="s">
        <v>115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s="1" customFormat="1" ht="17" x14ac:dyDescent="0.2">
      <c r="A29" s="5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1" customFormat="1" ht="17" x14ac:dyDescent="0.2">
      <c r="A30" s="60" t="s">
        <v>83</v>
      </c>
      <c r="B30" s="11">
        <v>7579</v>
      </c>
      <c r="C30" s="11">
        <v>7763</v>
      </c>
      <c r="D30" s="11">
        <v>8213</v>
      </c>
      <c r="E30" s="11">
        <v>9159</v>
      </c>
      <c r="F30" s="11">
        <v>10238</v>
      </c>
      <c r="G30" s="11">
        <v>11520</v>
      </c>
      <c r="H30" s="11">
        <v>12731</v>
      </c>
      <c r="I30" s="11">
        <v>14257</v>
      </c>
      <c r="J30" s="11">
        <v>15779</v>
      </c>
      <c r="K30" s="11">
        <v>1129</v>
      </c>
      <c r="L30" s="11">
        <v>18268</v>
      </c>
    </row>
    <row r="31" spans="1:12" s="1" customFormat="1" ht="17" x14ac:dyDescent="0.2">
      <c r="A31" s="5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s="1" customFormat="1" ht="17" x14ac:dyDescent="0.2">
      <c r="A32" s="58" t="s">
        <v>116</v>
      </c>
      <c r="B32" s="11">
        <v>3988</v>
      </c>
      <c r="C32" s="11">
        <v>3998</v>
      </c>
      <c r="D32" s="11">
        <v>3018</v>
      </c>
      <c r="E32" s="11">
        <v>3304</v>
      </c>
      <c r="F32" s="11">
        <v>3547</v>
      </c>
      <c r="G32" s="11">
        <v>3801</v>
      </c>
      <c r="H32" s="11">
        <v>4079</v>
      </c>
      <c r="I32" s="11">
        <v>4361</v>
      </c>
      <c r="J32" s="11">
        <v>4666</v>
      </c>
      <c r="K32" s="11">
        <v>169</v>
      </c>
      <c r="L32" s="11">
        <v>5028</v>
      </c>
    </row>
    <row r="33" spans="1:28" s="1" customFormat="1" ht="17" x14ac:dyDescent="0.2">
      <c r="A33" s="58" t="s">
        <v>117</v>
      </c>
      <c r="B33" s="11">
        <v>3563</v>
      </c>
      <c r="C33" s="11">
        <v>3733</v>
      </c>
      <c r="D33" s="11">
        <v>5173</v>
      </c>
      <c r="E33" s="11">
        <v>5832</v>
      </c>
      <c r="F33" s="11">
        <v>6661</v>
      </c>
      <c r="G33" s="11">
        <v>7672</v>
      </c>
      <c r="H33" s="11">
        <v>8581</v>
      </c>
      <c r="I33" s="11">
        <v>9793</v>
      </c>
      <c r="J33" s="11">
        <v>10962</v>
      </c>
      <c r="K33" s="11">
        <v>911</v>
      </c>
      <c r="L33" s="11">
        <v>12970</v>
      </c>
    </row>
    <row r="34" spans="1:28" s="1" customFormat="1" ht="17" x14ac:dyDescent="0.2">
      <c r="A34" s="59" t="s">
        <v>118</v>
      </c>
      <c r="B34" s="13">
        <v>28</v>
      </c>
      <c r="C34" s="13">
        <v>32</v>
      </c>
      <c r="D34" s="13">
        <v>22</v>
      </c>
      <c r="E34" s="13">
        <v>23</v>
      </c>
      <c r="F34" s="13">
        <v>30</v>
      </c>
      <c r="G34" s="13">
        <v>47</v>
      </c>
      <c r="H34" s="13">
        <v>71</v>
      </c>
      <c r="I34" s="13">
        <v>103</v>
      </c>
      <c r="J34" s="13">
        <v>151</v>
      </c>
      <c r="K34" s="13">
        <v>49</v>
      </c>
      <c r="L34" s="13">
        <v>270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s="1" customFormat="1" ht="20.5" x14ac:dyDescent="0.2">
      <c r="A35" s="123" t="s">
        <v>410</v>
      </c>
    </row>
    <row r="36" spans="1:28" s="1" customFormat="1" ht="10" x14ac:dyDescent="0.2">
      <c r="A36" s="35"/>
    </row>
    <row r="37" spans="1:28" s="1" customFormat="1" ht="10" x14ac:dyDescent="0.2">
      <c r="A37" s="37"/>
    </row>
    <row r="38" spans="1:28" s="1" customFormat="1" ht="10" x14ac:dyDescent="0.2">
      <c r="A38" s="12"/>
    </row>
    <row r="39" spans="1:28" s="1" customFormat="1" ht="10" x14ac:dyDescent="0.2">
      <c r="A39" s="12"/>
    </row>
    <row r="40" spans="1:28" s="1" customFormat="1" ht="10" x14ac:dyDescent="0.2">
      <c r="A40" s="12"/>
    </row>
    <row r="41" spans="1:28" s="1" customFormat="1" ht="10" x14ac:dyDescent="0.2">
      <c r="A41" s="3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71"/>
  <sheetViews>
    <sheetView zoomScale="145" zoomScaleNormal="145" workbookViewId="0">
      <selection activeCell="A4" sqref="A4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7.1796875" style="1" customWidth="1"/>
    <col min="16" max="28" width="7.1796875" customWidth="1"/>
  </cols>
  <sheetData>
    <row r="1" spans="1:28" ht="20.5" x14ac:dyDescent="0.85">
      <c r="A1" s="55" t="s">
        <v>125</v>
      </c>
    </row>
    <row r="2" spans="1:28" ht="7.5" customHeight="1" x14ac:dyDescent="0.25"/>
    <row r="3" spans="1:28" ht="23.25" customHeight="1" x14ac:dyDescent="0.25">
      <c r="A3" s="56" t="s">
        <v>90</v>
      </c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  <c r="U3" s="14">
        <v>2017</v>
      </c>
      <c r="V3" s="14">
        <v>2018</v>
      </c>
      <c r="W3" s="14">
        <v>2019</v>
      </c>
      <c r="X3" s="14">
        <v>2020</v>
      </c>
      <c r="Y3" s="14">
        <v>2021</v>
      </c>
      <c r="Z3" s="14">
        <v>2022</v>
      </c>
      <c r="AA3" s="14">
        <v>2023</v>
      </c>
      <c r="AB3" s="14">
        <v>2024</v>
      </c>
    </row>
    <row r="4" spans="1:28" ht="15.75" customHeight="1" x14ac:dyDescent="0.25">
      <c r="A4" s="132" t="s">
        <v>126</v>
      </c>
      <c r="D4" s="6"/>
      <c r="E4" s="6"/>
      <c r="F4" s="6"/>
      <c r="G4" s="6"/>
      <c r="H4" s="6"/>
      <c r="I4" s="6"/>
      <c r="J4" s="6"/>
    </row>
    <row r="5" spans="1:28" ht="17" x14ac:dyDescent="0.25">
      <c r="A5" s="57" t="s">
        <v>91</v>
      </c>
      <c r="B5" s="11">
        <v>3421</v>
      </c>
      <c r="C5" s="1">
        <v>3570</v>
      </c>
      <c r="D5" s="20">
        <v>3427</v>
      </c>
      <c r="E5" s="1">
        <v>3518</v>
      </c>
      <c r="F5" s="1">
        <v>3661</v>
      </c>
      <c r="G5" s="1">
        <v>3790</v>
      </c>
      <c r="H5" s="1">
        <v>4130</v>
      </c>
      <c r="I5" s="1">
        <v>4451</v>
      </c>
      <c r="J5" s="11">
        <v>4532</v>
      </c>
      <c r="K5" s="11">
        <v>4623</v>
      </c>
      <c r="L5" s="11">
        <v>4775</v>
      </c>
    </row>
    <row r="6" spans="1:28" ht="17" x14ac:dyDescent="0.25">
      <c r="A6" s="57" t="s">
        <v>92</v>
      </c>
      <c r="B6" s="11">
        <v>5226</v>
      </c>
      <c r="C6" s="1">
        <v>5501</v>
      </c>
      <c r="D6" s="20">
        <v>5675</v>
      </c>
      <c r="E6" s="1">
        <v>5862</v>
      </c>
      <c r="F6" s="1">
        <v>6336</v>
      </c>
      <c r="G6" s="1">
        <v>6796</v>
      </c>
      <c r="H6" s="1">
        <v>7067</v>
      </c>
      <c r="I6" s="1">
        <v>7261</v>
      </c>
      <c r="J6" s="11">
        <v>7483</v>
      </c>
      <c r="K6" s="11">
        <v>7539</v>
      </c>
      <c r="L6" s="11">
        <v>7817</v>
      </c>
    </row>
    <row r="7" spans="1:28" ht="17" x14ac:dyDescent="0.25">
      <c r="A7" s="57" t="s">
        <v>93</v>
      </c>
      <c r="B7" s="11">
        <v>10017</v>
      </c>
      <c r="C7" s="1">
        <v>9976</v>
      </c>
      <c r="D7" s="20">
        <v>10135</v>
      </c>
      <c r="E7" s="1">
        <v>10359</v>
      </c>
      <c r="F7" s="1">
        <v>10591</v>
      </c>
      <c r="G7" s="1">
        <v>10805</v>
      </c>
      <c r="H7" s="1">
        <v>10981</v>
      </c>
      <c r="I7" s="1">
        <v>11111</v>
      </c>
      <c r="J7" s="11">
        <v>11154</v>
      </c>
      <c r="K7" s="11">
        <v>10952</v>
      </c>
      <c r="L7" s="11">
        <v>11245</v>
      </c>
    </row>
    <row r="8" spans="1:28" ht="17" x14ac:dyDescent="0.25">
      <c r="A8" s="57" t="s">
        <v>94</v>
      </c>
      <c r="B8" s="11">
        <v>2378</v>
      </c>
      <c r="C8" s="1">
        <v>2411</v>
      </c>
      <c r="D8" s="20">
        <v>2525</v>
      </c>
      <c r="E8" s="1">
        <v>2644</v>
      </c>
      <c r="F8" s="1">
        <v>2783</v>
      </c>
      <c r="G8" s="1">
        <v>2959</v>
      </c>
      <c r="H8" s="1">
        <v>3108</v>
      </c>
      <c r="I8" s="1">
        <v>3163</v>
      </c>
      <c r="J8" s="11">
        <v>3237</v>
      </c>
      <c r="K8" s="11">
        <v>3231</v>
      </c>
      <c r="L8" s="11">
        <v>3374</v>
      </c>
    </row>
    <row r="9" spans="1:28" ht="17" x14ac:dyDescent="0.25">
      <c r="A9" s="57" t="s">
        <v>95</v>
      </c>
      <c r="B9" s="11">
        <v>3530</v>
      </c>
      <c r="C9" s="1">
        <v>3640</v>
      </c>
      <c r="D9" s="20">
        <v>3750</v>
      </c>
      <c r="E9" s="1">
        <v>3802</v>
      </c>
      <c r="F9" s="1">
        <v>3983</v>
      </c>
      <c r="G9" s="1">
        <v>4109</v>
      </c>
      <c r="H9" s="1">
        <v>4421</v>
      </c>
      <c r="I9" s="1">
        <v>4638</v>
      </c>
      <c r="J9" s="11">
        <v>4721</v>
      </c>
      <c r="K9" s="11">
        <v>4702</v>
      </c>
      <c r="L9" s="11">
        <v>4852</v>
      </c>
    </row>
    <row r="10" spans="1:28" ht="17" x14ac:dyDescent="0.25">
      <c r="A10" s="57" t="s">
        <v>96</v>
      </c>
      <c r="B10" s="11">
        <v>3329</v>
      </c>
      <c r="C10" s="1">
        <v>3520</v>
      </c>
      <c r="D10" s="20">
        <v>3538</v>
      </c>
      <c r="E10" s="1">
        <v>3694</v>
      </c>
      <c r="F10" s="1">
        <v>3823</v>
      </c>
      <c r="G10" s="1">
        <v>3947</v>
      </c>
      <c r="H10" s="1">
        <v>4172</v>
      </c>
      <c r="I10" s="1">
        <v>4301</v>
      </c>
      <c r="J10" s="11">
        <v>4338</v>
      </c>
      <c r="K10" s="11">
        <v>4324</v>
      </c>
      <c r="L10" s="11">
        <v>4347</v>
      </c>
    </row>
    <row r="11" spans="1:28" ht="17" x14ac:dyDescent="0.25">
      <c r="A11" s="57" t="s">
        <v>97</v>
      </c>
      <c r="B11" s="11">
        <v>3639</v>
      </c>
      <c r="C11" s="1">
        <v>3709</v>
      </c>
      <c r="D11" s="20">
        <v>3726</v>
      </c>
      <c r="E11" s="1">
        <v>3896</v>
      </c>
      <c r="F11" s="1">
        <v>4101</v>
      </c>
      <c r="G11" s="1">
        <v>4453</v>
      </c>
      <c r="H11" s="1">
        <v>4754</v>
      </c>
      <c r="I11" s="1">
        <v>4912</v>
      </c>
      <c r="J11" s="11">
        <v>4977</v>
      </c>
      <c r="K11" s="11">
        <v>4968</v>
      </c>
      <c r="L11" s="11">
        <v>5058</v>
      </c>
    </row>
    <row r="12" spans="1:28" ht="17" x14ac:dyDescent="0.25">
      <c r="A12" s="57" t="s">
        <v>98</v>
      </c>
      <c r="B12" s="11">
        <v>7316</v>
      </c>
      <c r="C12" s="1">
        <v>7508</v>
      </c>
      <c r="D12" s="20">
        <v>7711</v>
      </c>
      <c r="E12" s="1">
        <v>7930</v>
      </c>
      <c r="F12" s="1">
        <v>8169</v>
      </c>
      <c r="G12" s="1">
        <v>8469</v>
      </c>
      <c r="H12" s="1">
        <v>8844</v>
      </c>
      <c r="I12" s="1">
        <v>9124</v>
      </c>
      <c r="J12" s="11">
        <v>9293</v>
      </c>
      <c r="K12" s="11">
        <v>9338</v>
      </c>
      <c r="L12" s="11">
        <v>9376</v>
      </c>
    </row>
    <row r="13" spans="1:28" ht="17" x14ac:dyDescent="0.25">
      <c r="A13" s="57" t="s">
        <v>99</v>
      </c>
      <c r="B13" s="11">
        <v>331</v>
      </c>
      <c r="C13" s="1">
        <v>362</v>
      </c>
      <c r="D13" s="20">
        <v>340</v>
      </c>
      <c r="E13" s="1">
        <v>381</v>
      </c>
      <c r="F13" s="1">
        <v>411</v>
      </c>
      <c r="G13" s="1">
        <v>477</v>
      </c>
      <c r="H13" s="1">
        <v>528</v>
      </c>
      <c r="I13" s="1">
        <v>589</v>
      </c>
      <c r="J13" s="11">
        <v>687</v>
      </c>
      <c r="K13" s="11">
        <v>726</v>
      </c>
      <c r="L13" s="11">
        <v>836</v>
      </c>
    </row>
    <row r="14" spans="1:28" ht="17" x14ac:dyDescent="0.25">
      <c r="A14" s="57" t="s">
        <v>100</v>
      </c>
      <c r="B14" s="11">
        <v>1898</v>
      </c>
      <c r="C14" s="1">
        <v>1909</v>
      </c>
      <c r="D14" s="20">
        <v>1943</v>
      </c>
      <c r="E14" s="1">
        <v>2048</v>
      </c>
      <c r="F14" s="1">
        <v>2173</v>
      </c>
      <c r="G14" s="1">
        <v>2303</v>
      </c>
      <c r="H14" s="1">
        <v>2467</v>
      </c>
      <c r="I14" s="1">
        <v>2501</v>
      </c>
      <c r="J14" s="11">
        <v>2525</v>
      </c>
      <c r="K14" s="11">
        <v>2471</v>
      </c>
      <c r="L14" s="11">
        <v>2475</v>
      </c>
    </row>
    <row r="15" spans="1:28" ht="17" x14ac:dyDescent="0.25">
      <c r="A15" s="57" t="s">
        <v>101</v>
      </c>
      <c r="B15" s="11">
        <v>105</v>
      </c>
      <c r="C15" s="1">
        <v>126</v>
      </c>
      <c r="D15" s="20">
        <v>127</v>
      </c>
      <c r="E15" s="1">
        <v>119</v>
      </c>
      <c r="F15" s="1">
        <v>138</v>
      </c>
      <c r="G15" s="1">
        <v>189</v>
      </c>
      <c r="H15" s="1">
        <v>230</v>
      </c>
      <c r="I15" s="1">
        <v>273</v>
      </c>
      <c r="J15" s="11">
        <v>309</v>
      </c>
      <c r="K15" s="11">
        <v>327</v>
      </c>
      <c r="L15" s="11">
        <v>337</v>
      </c>
    </row>
    <row r="16" spans="1:28" ht="17" x14ac:dyDescent="0.25">
      <c r="A16" s="57" t="s">
        <v>102</v>
      </c>
      <c r="B16" s="11">
        <v>7432</v>
      </c>
      <c r="C16" s="1">
        <v>7622</v>
      </c>
      <c r="D16" s="20">
        <v>8168</v>
      </c>
      <c r="E16" s="1">
        <v>8515</v>
      </c>
      <c r="F16" s="1">
        <v>8816</v>
      </c>
      <c r="G16" s="1">
        <v>9019</v>
      </c>
      <c r="H16" s="1">
        <v>9201</v>
      </c>
      <c r="I16" s="1">
        <v>9158</v>
      </c>
      <c r="J16" s="11">
        <v>9160</v>
      </c>
      <c r="K16" s="11">
        <v>9326</v>
      </c>
      <c r="L16" s="11">
        <v>9538</v>
      </c>
    </row>
    <row r="17" spans="1:12" ht="17" x14ac:dyDescent="0.25">
      <c r="A17" s="57" t="s">
        <v>103</v>
      </c>
      <c r="B17" s="11">
        <v>600</v>
      </c>
      <c r="C17" s="1">
        <v>613</v>
      </c>
      <c r="D17" s="20">
        <v>650</v>
      </c>
      <c r="E17" s="1">
        <v>695</v>
      </c>
      <c r="F17" s="1">
        <v>731</v>
      </c>
      <c r="G17" s="1">
        <v>863</v>
      </c>
      <c r="H17" s="1">
        <v>977</v>
      </c>
      <c r="I17" s="1">
        <v>1047</v>
      </c>
      <c r="J17" s="11">
        <v>1083</v>
      </c>
      <c r="K17" s="11">
        <v>1123</v>
      </c>
      <c r="L17" s="11">
        <v>1204</v>
      </c>
    </row>
    <row r="18" spans="1:12" ht="17" x14ac:dyDescent="0.25">
      <c r="A18" s="57" t="s">
        <v>104</v>
      </c>
      <c r="B18" s="11">
        <v>6328</v>
      </c>
      <c r="C18" s="1">
        <v>6414</v>
      </c>
      <c r="D18" s="20">
        <v>6389</v>
      </c>
      <c r="E18" s="1">
        <v>6616</v>
      </c>
      <c r="F18" s="1">
        <v>6818</v>
      </c>
      <c r="G18" s="1">
        <v>7071</v>
      </c>
      <c r="H18" s="1">
        <v>7253</v>
      </c>
      <c r="I18" s="1">
        <v>7368</v>
      </c>
      <c r="J18" s="11">
        <v>7320</v>
      </c>
      <c r="K18" s="11">
        <v>7257</v>
      </c>
      <c r="L18" s="11">
        <v>7189</v>
      </c>
    </row>
    <row r="19" spans="1:12" ht="17" x14ac:dyDescent="0.25">
      <c r="A19" s="57" t="s">
        <v>105</v>
      </c>
      <c r="B19" s="11">
        <v>2272</v>
      </c>
      <c r="C19" s="1">
        <v>2302</v>
      </c>
      <c r="D19" s="20">
        <v>2366</v>
      </c>
      <c r="E19" s="1">
        <v>2466</v>
      </c>
      <c r="F19" s="1">
        <v>2641</v>
      </c>
      <c r="G19" s="1">
        <v>2794</v>
      </c>
      <c r="H19" s="1">
        <v>2938</v>
      </c>
      <c r="I19" s="1">
        <v>3005</v>
      </c>
      <c r="J19" s="11">
        <v>3030</v>
      </c>
      <c r="K19" s="11">
        <v>3071</v>
      </c>
      <c r="L19" s="11">
        <v>3165</v>
      </c>
    </row>
    <row r="20" spans="1:12" ht="17" x14ac:dyDescent="0.25">
      <c r="A20" s="57" t="s">
        <v>106</v>
      </c>
      <c r="B20" s="11">
        <v>244</v>
      </c>
      <c r="C20" s="1">
        <v>267</v>
      </c>
      <c r="D20" s="20">
        <v>282</v>
      </c>
      <c r="E20" s="1">
        <v>274</v>
      </c>
      <c r="F20" s="1">
        <v>273</v>
      </c>
      <c r="G20" s="1">
        <v>302</v>
      </c>
      <c r="H20" s="1">
        <v>376</v>
      </c>
      <c r="I20" s="1">
        <v>458</v>
      </c>
      <c r="J20" s="11">
        <v>530</v>
      </c>
      <c r="K20" s="11">
        <v>564</v>
      </c>
      <c r="L20" s="11">
        <v>615</v>
      </c>
    </row>
    <row r="21" spans="1:12" ht="17" x14ac:dyDescent="0.25">
      <c r="A21" s="57" t="s">
        <v>107</v>
      </c>
      <c r="B21" s="11">
        <v>3360</v>
      </c>
      <c r="C21" s="1">
        <v>3481</v>
      </c>
      <c r="D21" s="20">
        <v>3365</v>
      </c>
      <c r="E21" s="1">
        <v>3438</v>
      </c>
      <c r="F21" s="1">
        <v>3617</v>
      </c>
      <c r="G21" s="1">
        <v>3724</v>
      </c>
      <c r="H21" s="1">
        <v>3864</v>
      </c>
      <c r="I21" s="1">
        <v>4081</v>
      </c>
      <c r="J21" s="11">
        <v>4261</v>
      </c>
      <c r="K21" s="11">
        <v>4414</v>
      </c>
      <c r="L21" s="11">
        <v>4797</v>
      </c>
    </row>
    <row r="22" spans="1:12" ht="17" x14ac:dyDescent="0.25">
      <c r="A22" s="57" t="s">
        <v>108</v>
      </c>
      <c r="B22" s="11">
        <v>864</v>
      </c>
      <c r="C22" s="1">
        <v>897</v>
      </c>
      <c r="D22" s="20">
        <v>980</v>
      </c>
      <c r="E22" s="1">
        <v>1055</v>
      </c>
      <c r="F22" s="1">
        <v>1148</v>
      </c>
      <c r="G22" s="1">
        <v>1221</v>
      </c>
      <c r="H22" s="1">
        <v>1277</v>
      </c>
      <c r="I22" s="1">
        <v>1373</v>
      </c>
      <c r="J22" s="11">
        <v>1427</v>
      </c>
      <c r="K22" s="11">
        <v>1448</v>
      </c>
      <c r="L22" s="11">
        <v>1472</v>
      </c>
    </row>
    <row r="23" spans="1:12" ht="17" x14ac:dyDescent="0.25">
      <c r="A23" s="57" t="s">
        <v>109</v>
      </c>
      <c r="B23" s="11">
        <v>425</v>
      </c>
      <c r="C23" s="1">
        <v>425</v>
      </c>
      <c r="D23" s="20">
        <v>453</v>
      </c>
      <c r="E23" s="1">
        <v>531</v>
      </c>
      <c r="F23" s="1">
        <v>564</v>
      </c>
      <c r="G23" s="1">
        <v>654</v>
      </c>
      <c r="H23" s="1">
        <v>703</v>
      </c>
      <c r="I23" s="1">
        <v>763</v>
      </c>
      <c r="J23" s="11">
        <v>807</v>
      </c>
      <c r="K23" s="11">
        <v>835</v>
      </c>
      <c r="L23" s="11">
        <v>887</v>
      </c>
    </row>
    <row r="24" spans="1:12" ht="17" x14ac:dyDescent="0.25">
      <c r="A24" s="57" t="s">
        <v>110</v>
      </c>
      <c r="B24" s="11">
        <v>3259</v>
      </c>
      <c r="C24" s="1">
        <v>3237</v>
      </c>
      <c r="D24" s="20">
        <v>3319</v>
      </c>
      <c r="E24" s="1">
        <v>3495</v>
      </c>
      <c r="F24" s="1">
        <v>3639</v>
      </c>
      <c r="G24" s="1">
        <v>3800</v>
      </c>
      <c r="H24" s="1">
        <v>3980</v>
      </c>
      <c r="I24" s="1">
        <v>4156</v>
      </c>
      <c r="J24" s="11">
        <v>4261</v>
      </c>
      <c r="K24" s="11">
        <v>4238</v>
      </c>
      <c r="L24" s="11">
        <v>4327</v>
      </c>
    </row>
    <row r="25" spans="1:12" ht="17" x14ac:dyDescent="0.25">
      <c r="A25" s="57" t="s">
        <v>111</v>
      </c>
      <c r="B25" s="11">
        <v>5490</v>
      </c>
      <c r="C25" s="1">
        <v>5814</v>
      </c>
      <c r="D25" s="20">
        <v>5953</v>
      </c>
      <c r="E25" s="1">
        <v>6244</v>
      </c>
      <c r="F25" s="1">
        <v>6526</v>
      </c>
      <c r="G25" s="1">
        <v>6824</v>
      </c>
      <c r="H25" s="1">
        <v>7059</v>
      </c>
      <c r="I25" s="1">
        <v>7239</v>
      </c>
      <c r="J25" s="11">
        <v>7467</v>
      </c>
      <c r="K25" s="11">
        <v>7439</v>
      </c>
      <c r="L25" s="11">
        <v>7530</v>
      </c>
    </row>
    <row r="26" spans="1:12" ht="17" x14ac:dyDescent="0.25">
      <c r="A26" s="57" t="s">
        <v>112</v>
      </c>
      <c r="B26" s="15" t="s">
        <v>21</v>
      </c>
      <c r="C26" s="15" t="s">
        <v>21</v>
      </c>
      <c r="D26" s="20">
        <v>344</v>
      </c>
      <c r="E26" s="1">
        <v>401</v>
      </c>
      <c r="F26" s="1">
        <v>421</v>
      </c>
      <c r="G26" s="1">
        <v>491</v>
      </c>
      <c r="H26" s="1">
        <v>668</v>
      </c>
      <c r="I26" s="1">
        <v>819</v>
      </c>
      <c r="J26" s="11">
        <v>910</v>
      </c>
      <c r="K26" s="11">
        <v>981</v>
      </c>
      <c r="L26" s="11">
        <v>1017</v>
      </c>
    </row>
    <row r="27" spans="1:12" ht="17" x14ac:dyDescent="0.25">
      <c r="A27" s="57" t="s">
        <v>113</v>
      </c>
      <c r="B27" s="11">
        <v>143</v>
      </c>
      <c r="C27" s="1">
        <v>156</v>
      </c>
      <c r="D27" s="20">
        <v>179</v>
      </c>
      <c r="E27" s="1">
        <v>201</v>
      </c>
      <c r="F27" s="1">
        <v>239</v>
      </c>
      <c r="G27" s="1">
        <v>277</v>
      </c>
      <c r="H27" s="1">
        <v>349</v>
      </c>
      <c r="I27" s="1">
        <v>371</v>
      </c>
      <c r="J27" s="11">
        <v>387</v>
      </c>
      <c r="K27" s="11">
        <v>380</v>
      </c>
      <c r="L27" s="11">
        <v>385</v>
      </c>
    </row>
    <row r="28" spans="1:12" ht="17" x14ac:dyDescent="0.25">
      <c r="A28" s="57" t="s">
        <v>114</v>
      </c>
      <c r="B28" s="11">
        <v>48</v>
      </c>
      <c r="C28" s="1">
        <v>66</v>
      </c>
      <c r="D28" s="20">
        <v>84</v>
      </c>
      <c r="E28" s="1">
        <v>117</v>
      </c>
      <c r="F28" s="1">
        <v>147</v>
      </c>
      <c r="G28" s="1">
        <v>189</v>
      </c>
      <c r="H28" s="1">
        <v>269</v>
      </c>
      <c r="I28" s="1">
        <v>326</v>
      </c>
      <c r="J28" s="11">
        <v>350</v>
      </c>
      <c r="K28" s="11">
        <v>364</v>
      </c>
      <c r="L28" s="11">
        <v>385</v>
      </c>
    </row>
    <row r="29" spans="1:12" ht="17" x14ac:dyDescent="0.25">
      <c r="A29" s="57" t="s">
        <v>115</v>
      </c>
      <c r="B29" s="11"/>
      <c r="D29" s="20"/>
      <c r="J29" s="11"/>
      <c r="K29" s="11"/>
      <c r="L29" s="11"/>
    </row>
    <row r="30" spans="1:12" ht="17" x14ac:dyDescent="0.25">
      <c r="A30" s="57"/>
      <c r="B30" s="11"/>
      <c r="D30" s="20"/>
      <c r="J30" s="11"/>
      <c r="K30" s="11"/>
      <c r="L30" s="11"/>
    </row>
    <row r="31" spans="1:12" ht="17" x14ac:dyDescent="0.25">
      <c r="A31" s="60" t="s">
        <v>83</v>
      </c>
      <c r="B31" s="11">
        <v>71655</v>
      </c>
      <c r="C31" s="1">
        <v>73526</v>
      </c>
      <c r="D31" s="20">
        <v>75429</v>
      </c>
      <c r="E31" s="1">
        <v>78301</v>
      </c>
      <c r="F31" s="1">
        <v>81749</v>
      </c>
      <c r="G31" s="1">
        <v>85526</v>
      </c>
      <c r="H31" s="1">
        <v>89616</v>
      </c>
      <c r="I31" s="1">
        <v>92488</v>
      </c>
      <c r="J31" s="11">
        <v>94249</v>
      </c>
      <c r="K31" s="11">
        <v>94641</v>
      </c>
      <c r="L31" s="11">
        <v>97003</v>
      </c>
    </row>
    <row r="32" spans="1:12" ht="17" x14ac:dyDescent="0.25">
      <c r="A32" s="57"/>
      <c r="B32" s="11"/>
      <c r="D32" s="20"/>
      <c r="J32" s="11"/>
      <c r="K32" s="11"/>
      <c r="L32" s="11"/>
    </row>
    <row r="33" spans="1:12" ht="17" x14ac:dyDescent="0.25">
      <c r="A33" s="58" t="s">
        <v>116</v>
      </c>
      <c r="B33" s="11">
        <v>25459</v>
      </c>
      <c r="C33" s="1">
        <v>26291</v>
      </c>
      <c r="D33" s="20">
        <v>20548</v>
      </c>
      <c r="E33" s="1">
        <v>21422</v>
      </c>
      <c r="F33" s="1">
        <v>22339</v>
      </c>
      <c r="G33" s="1">
        <v>22748</v>
      </c>
      <c r="H33" s="1">
        <v>23291</v>
      </c>
      <c r="I33" s="1">
        <v>23617</v>
      </c>
      <c r="J33" s="11">
        <v>23854</v>
      </c>
      <c r="K33" s="11">
        <v>24215</v>
      </c>
      <c r="L33" s="11">
        <v>24692</v>
      </c>
    </row>
    <row r="34" spans="1:12" ht="17" x14ac:dyDescent="0.25">
      <c r="A34" s="58" t="s">
        <v>117</v>
      </c>
      <c r="B34" s="11">
        <v>43529</v>
      </c>
      <c r="C34" s="1">
        <v>44447</v>
      </c>
      <c r="D34" s="20">
        <v>53981</v>
      </c>
      <c r="E34" s="1">
        <v>55817</v>
      </c>
      <c r="F34" s="1">
        <v>58249</v>
      </c>
      <c r="G34" s="1">
        <v>61327</v>
      </c>
      <c r="H34" s="1">
        <v>64575</v>
      </c>
      <c r="I34" s="1">
        <v>66875</v>
      </c>
      <c r="J34" s="11">
        <v>68167</v>
      </c>
      <c r="K34" s="11">
        <v>68238</v>
      </c>
      <c r="L34" s="11">
        <v>69873</v>
      </c>
    </row>
    <row r="35" spans="1:12" ht="17" x14ac:dyDescent="0.25">
      <c r="A35" s="64" t="s">
        <v>118</v>
      </c>
      <c r="B35" s="46">
        <v>2667</v>
      </c>
      <c r="C35" s="34">
        <v>2788</v>
      </c>
      <c r="D35" s="47">
        <v>900</v>
      </c>
      <c r="E35" s="34">
        <v>1062</v>
      </c>
      <c r="F35" s="34">
        <v>1161</v>
      </c>
      <c r="G35" s="34">
        <v>1451</v>
      </c>
      <c r="H35" s="34">
        <v>1750</v>
      </c>
      <c r="I35" s="34">
        <v>1996</v>
      </c>
      <c r="J35" s="46">
        <v>2228</v>
      </c>
      <c r="K35" s="46">
        <v>2188</v>
      </c>
      <c r="L35" s="46">
        <v>2438</v>
      </c>
    </row>
    <row r="36" spans="1:12" x14ac:dyDescent="0.25">
      <c r="A36" s="12"/>
      <c r="D36" s="11"/>
      <c r="E36" s="11"/>
      <c r="F36" s="11"/>
      <c r="G36" s="11"/>
      <c r="H36" s="11"/>
      <c r="K36" s="11"/>
      <c r="L36" s="11"/>
    </row>
    <row r="37" spans="1:12" ht="17" x14ac:dyDescent="0.25">
      <c r="A37" s="60" t="s">
        <v>127</v>
      </c>
    </row>
    <row r="38" spans="1:12" ht="17" x14ac:dyDescent="0.25">
      <c r="A38" s="57" t="s">
        <v>91</v>
      </c>
      <c r="B38" s="11">
        <v>890</v>
      </c>
      <c r="C38" s="11">
        <v>976</v>
      </c>
      <c r="D38" s="20">
        <v>1043</v>
      </c>
      <c r="E38" s="11">
        <v>1104</v>
      </c>
      <c r="F38" s="11">
        <v>1181</v>
      </c>
      <c r="G38" s="11">
        <v>1252</v>
      </c>
      <c r="H38" s="11">
        <v>1369</v>
      </c>
      <c r="I38" s="11">
        <v>1531</v>
      </c>
      <c r="J38" s="11">
        <v>1563</v>
      </c>
      <c r="K38" s="11">
        <v>1609</v>
      </c>
      <c r="L38" s="11">
        <v>1703</v>
      </c>
    </row>
    <row r="39" spans="1:12" ht="17" x14ac:dyDescent="0.25">
      <c r="A39" s="57" t="s">
        <v>92</v>
      </c>
      <c r="B39" s="11">
        <v>2099</v>
      </c>
      <c r="C39" s="11">
        <v>2226</v>
      </c>
      <c r="D39" s="20">
        <v>2368</v>
      </c>
      <c r="E39" s="11">
        <v>2520</v>
      </c>
      <c r="F39" s="11">
        <v>2745</v>
      </c>
      <c r="G39" s="11">
        <v>2987</v>
      </c>
      <c r="H39" s="11">
        <v>3141</v>
      </c>
      <c r="I39" s="11">
        <v>3261</v>
      </c>
      <c r="J39" s="11">
        <v>3409</v>
      </c>
      <c r="K39" s="11">
        <v>3459</v>
      </c>
      <c r="L39" s="11">
        <v>3636</v>
      </c>
    </row>
    <row r="40" spans="1:12" ht="17" x14ac:dyDescent="0.25">
      <c r="A40" s="57" t="s">
        <v>93</v>
      </c>
      <c r="B40" s="11">
        <v>3523</v>
      </c>
      <c r="C40" s="11">
        <v>3542</v>
      </c>
      <c r="D40" s="20">
        <v>3687</v>
      </c>
      <c r="E40" s="11">
        <v>3861</v>
      </c>
      <c r="F40" s="11">
        <v>4032</v>
      </c>
      <c r="G40" s="11">
        <v>4168</v>
      </c>
      <c r="H40" s="11">
        <v>4250</v>
      </c>
      <c r="I40" s="11">
        <v>4367</v>
      </c>
      <c r="J40" s="11">
        <v>4425</v>
      </c>
      <c r="K40" s="11">
        <v>4416</v>
      </c>
      <c r="L40" s="11">
        <v>4585</v>
      </c>
    </row>
    <row r="41" spans="1:12" ht="17" x14ac:dyDescent="0.25">
      <c r="A41" s="57" t="s">
        <v>94</v>
      </c>
      <c r="B41" s="11">
        <v>744</v>
      </c>
      <c r="C41" s="11">
        <v>759</v>
      </c>
      <c r="D41" s="20">
        <v>796</v>
      </c>
      <c r="E41" s="11">
        <v>831</v>
      </c>
      <c r="F41" s="11">
        <v>890</v>
      </c>
      <c r="G41" s="11">
        <v>943</v>
      </c>
      <c r="H41" s="11">
        <v>1004</v>
      </c>
      <c r="I41" s="11">
        <v>1021</v>
      </c>
      <c r="J41" s="11">
        <v>1064</v>
      </c>
      <c r="K41" s="11">
        <v>1071</v>
      </c>
      <c r="L41" s="11">
        <v>1164</v>
      </c>
    </row>
    <row r="42" spans="1:12" ht="17" x14ac:dyDescent="0.25">
      <c r="A42" s="57" t="s">
        <v>95</v>
      </c>
      <c r="B42" s="11">
        <v>813</v>
      </c>
      <c r="C42" s="11">
        <v>853</v>
      </c>
      <c r="D42" s="20">
        <v>906</v>
      </c>
      <c r="E42" s="11">
        <v>950</v>
      </c>
      <c r="F42" s="11">
        <v>1012</v>
      </c>
      <c r="G42" s="11">
        <v>1066</v>
      </c>
      <c r="H42" s="11">
        <v>1177</v>
      </c>
      <c r="I42" s="11">
        <v>1262</v>
      </c>
      <c r="J42" s="11">
        <v>1316</v>
      </c>
      <c r="K42" s="11">
        <v>1332</v>
      </c>
      <c r="L42" s="11">
        <v>1397</v>
      </c>
    </row>
    <row r="43" spans="1:12" ht="17" x14ac:dyDescent="0.25">
      <c r="A43" s="57" t="s">
        <v>96</v>
      </c>
      <c r="B43" s="11">
        <v>1129</v>
      </c>
      <c r="C43" s="11">
        <v>1203</v>
      </c>
      <c r="D43" s="20">
        <v>1240</v>
      </c>
      <c r="E43" s="11">
        <v>1319</v>
      </c>
      <c r="F43" s="11">
        <v>1367</v>
      </c>
      <c r="G43" s="11">
        <v>1412</v>
      </c>
      <c r="H43" s="11">
        <v>1506</v>
      </c>
      <c r="I43" s="11">
        <v>1597</v>
      </c>
      <c r="J43" s="11">
        <v>1616</v>
      </c>
      <c r="K43" s="11">
        <v>1634</v>
      </c>
      <c r="L43" s="11">
        <v>1682</v>
      </c>
    </row>
    <row r="44" spans="1:12" ht="17" x14ac:dyDescent="0.25">
      <c r="A44" s="57" t="s">
        <v>97</v>
      </c>
      <c r="B44" s="11">
        <v>1230</v>
      </c>
      <c r="C44" s="11">
        <v>1253</v>
      </c>
      <c r="D44" s="20">
        <v>1284</v>
      </c>
      <c r="E44" s="11">
        <v>1353</v>
      </c>
      <c r="F44" s="11">
        <v>1414</v>
      </c>
      <c r="G44" s="11">
        <v>1546</v>
      </c>
      <c r="H44" s="11">
        <v>1652</v>
      </c>
      <c r="I44" s="11">
        <v>1719</v>
      </c>
      <c r="J44" s="11">
        <v>1771</v>
      </c>
      <c r="K44" s="11">
        <v>1794</v>
      </c>
      <c r="L44" s="11">
        <v>1843</v>
      </c>
    </row>
    <row r="45" spans="1:12" ht="17" x14ac:dyDescent="0.25">
      <c r="A45" s="57" t="s">
        <v>98</v>
      </c>
      <c r="B45" s="11">
        <v>2781</v>
      </c>
      <c r="C45" s="11">
        <v>2887</v>
      </c>
      <c r="D45" s="20">
        <v>3003</v>
      </c>
      <c r="E45" s="11">
        <v>3139</v>
      </c>
      <c r="F45" s="11">
        <v>3252</v>
      </c>
      <c r="G45" s="11">
        <v>3423</v>
      </c>
      <c r="H45" s="11">
        <v>3586</v>
      </c>
      <c r="I45" s="11">
        <v>3707</v>
      </c>
      <c r="J45" s="11">
        <v>3789</v>
      </c>
      <c r="K45" s="11">
        <v>3825</v>
      </c>
      <c r="L45" s="11">
        <v>3916</v>
      </c>
    </row>
    <row r="46" spans="1:12" ht="17" x14ac:dyDescent="0.25">
      <c r="A46" s="57" t="s">
        <v>99</v>
      </c>
      <c r="B46" s="11">
        <v>55</v>
      </c>
      <c r="C46" s="11">
        <v>63</v>
      </c>
      <c r="D46" s="20">
        <v>63</v>
      </c>
      <c r="E46" s="11">
        <v>76</v>
      </c>
      <c r="F46" s="11">
        <v>93</v>
      </c>
      <c r="G46" s="11">
        <v>117</v>
      </c>
      <c r="H46" s="11">
        <v>127</v>
      </c>
      <c r="I46" s="11">
        <v>147</v>
      </c>
      <c r="J46" s="11">
        <v>178</v>
      </c>
      <c r="K46" s="11">
        <v>182</v>
      </c>
      <c r="L46" s="11">
        <v>217</v>
      </c>
    </row>
    <row r="47" spans="1:12" ht="17" x14ac:dyDescent="0.25">
      <c r="A47" s="57" t="s">
        <v>100</v>
      </c>
      <c r="B47" s="11">
        <v>775</v>
      </c>
      <c r="C47" s="11">
        <v>784</v>
      </c>
      <c r="D47" s="20">
        <v>845</v>
      </c>
      <c r="E47" s="11">
        <v>907</v>
      </c>
      <c r="F47" s="11">
        <v>968</v>
      </c>
      <c r="G47" s="11">
        <v>1021</v>
      </c>
      <c r="H47" s="11">
        <v>1106</v>
      </c>
      <c r="I47" s="11">
        <v>1123</v>
      </c>
      <c r="J47" s="11">
        <v>1153</v>
      </c>
      <c r="K47" s="11">
        <v>1141</v>
      </c>
      <c r="L47" s="11">
        <v>1166</v>
      </c>
    </row>
    <row r="48" spans="1:12" ht="17" x14ac:dyDescent="0.25">
      <c r="A48" s="57" t="s">
        <v>101</v>
      </c>
      <c r="B48" s="11">
        <v>23</v>
      </c>
      <c r="C48" s="11">
        <v>30</v>
      </c>
      <c r="D48" s="20">
        <v>41</v>
      </c>
      <c r="E48" s="11">
        <v>33</v>
      </c>
      <c r="F48" s="11">
        <v>40</v>
      </c>
      <c r="G48" s="11">
        <v>50</v>
      </c>
      <c r="H48" s="11">
        <v>71</v>
      </c>
      <c r="I48" s="11">
        <v>89</v>
      </c>
      <c r="J48" s="11">
        <v>100</v>
      </c>
      <c r="K48" s="11">
        <v>101</v>
      </c>
      <c r="L48" s="11">
        <v>101</v>
      </c>
    </row>
    <row r="49" spans="1:12" ht="17" x14ac:dyDescent="0.25">
      <c r="A49" s="57" t="s">
        <v>102</v>
      </c>
      <c r="B49" s="11">
        <v>4334</v>
      </c>
      <c r="C49" s="11">
        <v>4410</v>
      </c>
      <c r="D49" s="20">
        <v>4639</v>
      </c>
      <c r="E49" s="11">
        <v>4862</v>
      </c>
      <c r="F49" s="11">
        <v>5098</v>
      </c>
      <c r="G49" s="11">
        <v>5237</v>
      </c>
      <c r="H49" s="11">
        <v>5361</v>
      </c>
      <c r="I49" s="11">
        <v>5340</v>
      </c>
      <c r="J49" s="11">
        <v>5365</v>
      </c>
      <c r="K49" s="11">
        <v>5433</v>
      </c>
      <c r="L49" s="11">
        <v>5522</v>
      </c>
    </row>
    <row r="50" spans="1:12" ht="17" x14ac:dyDescent="0.25">
      <c r="A50" s="57" t="s">
        <v>103</v>
      </c>
      <c r="B50" s="11">
        <v>166</v>
      </c>
      <c r="C50" s="11">
        <v>159</v>
      </c>
      <c r="D50" s="20">
        <v>189</v>
      </c>
      <c r="E50" s="11">
        <v>202</v>
      </c>
      <c r="F50" s="11">
        <v>212</v>
      </c>
      <c r="G50" s="11">
        <v>234</v>
      </c>
      <c r="H50" s="11">
        <v>279</v>
      </c>
      <c r="I50" s="11">
        <v>307</v>
      </c>
      <c r="J50" s="11">
        <v>325</v>
      </c>
      <c r="K50" s="11">
        <v>352</v>
      </c>
      <c r="L50" s="11">
        <v>370</v>
      </c>
    </row>
    <row r="51" spans="1:12" ht="17" x14ac:dyDescent="0.25">
      <c r="A51" s="57" t="s">
        <v>104</v>
      </c>
      <c r="B51" s="11">
        <v>1563</v>
      </c>
      <c r="C51" s="11">
        <v>1591</v>
      </c>
      <c r="D51" s="20">
        <v>1646</v>
      </c>
      <c r="E51" s="11">
        <v>1739</v>
      </c>
      <c r="F51" s="11">
        <v>1841</v>
      </c>
      <c r="G51" s="11">
        <v>1937</v>
      </c>
      <c r="H51" s="11">
        <v>1994</v>
      </c>
      <c r="I51" s="11">
        <v>2041</v>
      </c>
      <c r="J51" s="11">
        <v>2048</v>
      </c>
      <c r="K51" s="11">
        <v>2052</v>
      </c>
      <c r="L51" s="11">
        <v>2069</v>
      </c>
    </row>
    <row r="52" spans="1:12" ht="17" x14ac:dyDescent="0.25">
      <c r="A52" s="57" t="s">
        <v>105</v>
      </c>
      <c r="B52" s="11">
        <v>655</v>
      </c>
      <c r="C52" s="11">
        <v>663</v>
      </c>
      <c r="D52" s="20">
        <v>706</v>
      </c>
      <c r="E52" s="11">
        <v>740</v>
      </c>
      <c r="F52" s="11">
        <v>797</v>
      </c>
      <c r="G52" s="11">
        <v>867</v>
      </c>
      <c r="H52" s="11">
        <v>935</v>
      </c>
      <c r="I52" s="11">
        <v>965</v>
      </c>
      <c r="J52" s="11">
        <v>979</v>
      </c>
      <c r="K52" s="11">
        <v>1017</v>
      </c>
      <c r="L52" s="11">
        <v>1070</v>
      </c>
    </row>
    <row r="53" spans="1:12" ht="17" x14ac:dyDescent="0.25">
      <c r="A53" s="57" t="s">
        <v>106</v>
      </c>
      <c r="B53" s="11">
        <v>53</v>
      </c>
      <c r="C53" s="11">
        <v>62</v>
      </c>
      <c r="D53" s="20">
        <v>60</v>
      </c>
      <c r="E53" s="11">
        <v>58</v>
      </c>
      <c r="F53" s="11">
        <v>68</v>
      </c>
      <c r="G53" s="11">
        <v>82</v>
      </c>
      <c r="H53" s="11">
        <v>110</v>
      </c>
      <c r="I53" s="11">
        <v>136</v>
      </c>
      <c r="J53" s="11">
        <v>154</v>
      </c>
      <c r="K53" s="11">
        <v>176</v>
      </c>
      <c r="L53" s="11">
        <v>195</v>
      </c>
    </row>
    <row r="54" spans="1:12" ht="17" x14ac:dyDescent="0.25">
      <c r="A54" s="57" t="s">
        <v>107</v>
      </c>
      <c r="B54" s="11">
        <v>1338</v>
      </c>
      <c r="C54" s="11">
        <v>1393</v>
      </c>
      <c r="D54" s="20">
        <v>1458</v>
      </c>
      <c r="E54" s="11">
        <v>1510</v>
      </c>
      <c r="F54" s="11">
        <v>1598</v>
      </c>
      <c r="G54" s="11">
        <v>1660</v>
      </c>
      <c r="H54" s="11">
        <v>1726</v>
      </c>
      <c r="I54" s="11">
        <v>1852</v>
      </c>
      <c r="J54" s="11">
        <v>1958</v>
      </c>
      <c r="K54" s="11">
        <v>2077</v>
      </c>
      <c r="L54" s="11">
        <v>2297</v>
      </c>
    </row>
    <row r="55" spans="1:12" ht="17" x14ac:dyDescent="0.25">
      <c r="A55" s="57" t="s">
        <v>108</v>
      </c>
      <c r="B55" s="11">
        <v>310</v>
      </c>
      <c r="C55" s="11">
        <v>313</v>
      </c>
      <c r="D55" s="20">
        <v>351</v>
      </c>
      <c r="E55" s="11">
        <v>389</v>
      </c>
      <c r="F55" s="11">
        <v>427</v>
      </c>
      <c r="G55" s="11">
        <v>459</v>
      </c>
      <c r="H55" s="11">
        <v>483</v>
      </c>
      <c r="I55" s="11">
        <v>519</v>
      </c>
      <c r="J55" s="11">
        <v>534</v>
      </c>
      <c r="K55" s="11">
        <v>544</v>
      </c>
      <c r="L55" s="11">
        <v>546</v>
      </c>
    </row>
    <row r="56" spans="1:12" ht="17" x14ac:dyDescent="0.25">
      <c r="A56" s="57" t="s">
        <v>109</v>
      </c>
      <c r="B56" s="11">
        <v>114</v>
      </c>
      <c r="C56" s="11">
        <v>122</v>
      </c>
      <c r="D56" s="20">
        <v>128</v>
      </c>
      <c r="E56" s="11">
        <v>165</v>
      </c>
      <c r="F56" s="11">
        <v>181</v>
      </c>
      <c r="G56" s="11">
        <v>214</v>
      </c>
      <c r="H56" s="11">
        <v>252</v>
      </c>
      <c r="I56" s="11">
        <v>284</v>
      </c>
      <c r="J56" s="11">
        <v>305</v>
      </c>
      <c r="K56" s="11">
        <v>313</v>
      </c>
      <c r="L56" s="11">
        <v>339</v>
      </c>
    </row>
    <row r="57" spans="1:12" ht="17" x14ac:dyDescent="0.25">
      <c r="A57" s="57" t="s">
        <v>110</v>
      </c>
      <c r="B57" s="11">
        <v>674</v>
      </c>
      <c r="C57" s="11">
        <v>654</v>
      </c>
      <c r="D57" s="20">
        <v>716</v>
      </c>
      <c r="E57" s="11">
        <v>770</v>
      </c>
      <c r="F57" s="11">
        <v>820</v>
      </c>
      <c r="G57" s="11">
        <v>865</v>
      </c>
      <c r="H57" s="11">
        <v>905</v>
      </c>
      <c r="I57" s="11">
        <v>968</v>
      </c>
      <c r="J57" s="11">
        <v>1002</v>
      </c>
      <c r="K57" s="11">
        <v>1004</v>
      </c>
      <c r="L57" s="11">
        <v>1053</v>
      </c>
    </row>
    <row r="58" spans="1:12" ht="17" x14ac:dyDescent="0.25">
      <c r="A58" s="57" t="s">
        <v>111</v>
      </c>
      <c r="B58" s="11">
        <v>1389</v>
      </c>
      <c r="C58" s="11">
        <v>1448</v>
      </c>
      <c r="D58" s="20">
        <v>1486</v>
      </c>
      <c r="E58" s="11">
        <v>1550</v>
      </c>
      <c r="F58" s="11">
        <v>1627</v>
      </c>
      <c r="G58" s="11">
        <v>1715</v>
      </c>
      <c r="H58" s="11">
        <v>1798</v>
      </c>
      <c r="I58" s="11">
        <v>1863</v>
      </c>
      <c r="J58" s="11">
        <v>1972</v>
      </c>
      <c r="K58" s="11">
        <v>1979</v>
      </c>
      <c r="L58" s="11">
        <v>2032</v>
      </c>
    </row>
    <row r="59" spans="1:12" ht="17" x14ac:dyDescent="0.25">
      <c r="A59" s="57" t="s">
        <v>112</v>
      </c>
      <c r="B59" s="15" t="s">
        <v>21</v>
      </c>
      <c r="C59" s="15" t="s">
        <v>21</v>
      </c>
      <c r="D59" s="20">
        <v>31</v>
      </c>
      <c r="E59" s="11">
        <v>44</v>
      </c>
      <c r="F59" s="11">
        <v>54</v>
      </c>
      <c r="G59" s="11">
        <v>71</v>
      </c>
      <c r="H59" s="11">
        <v>116</v>
      </c>
      <c r="I59" s="11">
        <v>150</v>
      </c>
      <c r="J59" s="11">
        <v>178</v>
      </c>
      <c r="K59" s="11">
        <v>201</v>
      </c>
      <c r="L59" s="11">
        <v>221</v>
      </c>
    </row>
    <row r="60" spans="1:12" ht="17" x14ac:dyDescent="0.25">
      <c r="A60" s="57" t="s">
        <v>113</v>
      </c>
      <c r="B60" s="11">
        <v>44</v>
      </c>
      <c r="C60" s="11">
        <v>44</v>
      </c>
      <c r="D60" s="20">
        <v>50</v>
      </c>
      <c r="E60" s="11">
        <v>64</v>
      </c>
      <c r="F60" s="11">
        <v>84</v>
      </c>
      <c r="G60" s="11">
        <v>94</v>
      </c>
      <c r="H60" s="11">
        <v>119</v>
      </c>
      <c r="I60" s="11">
        <v>123</v>
      </c>
      <c r="J60" s="11">
        <v>130</v>
      </c>
      <c r="K60" s="11">
        <v>128</v>
      </c>
      <c r="L60" s="11">
        <v>135</v>
      </c>
    </row>
    <row r="61" spans="1:12" ht="17" x14ac:dyDescent="0.25">
      <c r="A61" s="57" t="s">
        <v>114</v>
      </c>
      <c r="B61" s="11">
        <v>18</v>
      </c>
      <c r="C61" s="11">
        <v>26</v>
      </c>
      <c r="D61" s="20">
        <v>27</v>
      </c>
      <c r="E61" s="11">
        <v>37</v>
      </c>
      <c r="F61" s="11">
        <v>40</v>
      </c>
      <c r="G61" s="11">
        <v>50</v>
      </c>
      <c r="H61" s="11">
        <v>77</v>
      </c>
      <c r="I61" s="11">
        <v>100</v>
      </c>
      <c r="J61" s="11">
        <v>112</v>
      </c>
      <c r="K61" s="11">
        <v>113</v>
      </c>
      <c r="L61" s="11">
        <v>133</v>
      </c>
    </row>
    <row r="62" spans="1:12" ht="17" x14ac:dyDescent="0.25">
      <c r="A62" s="57" t="s">
        <v>115</v>
      </c>
      <c r="B62" s="11"/>
      <c r="C62" s="11"/>
      <c r="D62" s="20"/>
      <c r="E62" s="11"/>
      <c r="F62" s="11"/>
      <c r="G62" s="11"/>
      <c r="H62" s="11"/>
      <c r="I62" s="11"/>
      <c r="J62" s="11"/>
      <c r="K62" s="11"/>
      <c r="L62" s="11"/>
    </row>
    <row r="63" spans="1:12" ht="17" x14ac:dyDescent="0.25">
      <c r="A63" s="57"/>
      <c r="B63" s="11"/>
      <c r="C63" s="11"/>
      <c r="D63" s="20"/>
      <c r="E63" s="11"/>
      <c r="F63" s="11"/>
      <c r="G63" s="11"/>
      <c r="H63" s="11"/>
      <c r="I63" s="11"/>
      <c r="J63" s="11"/>
      <c r="K63" s="11"/>
      <c r="L63" s="11"/>
    </row>
    <row r="64" spans="1:12" ht="17" x14ac:dyDescent="0.25">
      <c r="A64" s="60" t="s">
        <v>83</v>
      </c>
      <c r="B64" s="11">
        <v>24720</v>
      </c>
      <c r="C64" s="11">
        <v>25461</v>
      </c>
      <c r="D64" s="20">
        <v>26763</v>
      </c>
      <c r="E64" s="11">
        <v>28223</v>
      </c>
      <c r="F64" s="11">
        <v>29841</v>
      </c>
      <c r="G64" s="11">
        <v>31470</v>
      </c>
      <c r="H64" s="11">
        <v>33144</v>
      </c>
      <c r="I64" s="11">
        <v>34472</v>
      </c>
      <c r="J64" s="11">
        <v>35446</v>
      </c>
      <c r="K64" s="11">
        <v>35953</v>
      </c>
      <c r="L64" s="11">
        <v>37392</v>
      </c>
    </row>
    <row r="65" spans="1:28" ht="17" x14ac:dyDescent="0.25">
      <c r="A65" s="57"/>
      <c r="B65" s="11"/>
      <c r="C65" s="11"/>
      <c r="D65" s="20"/>
      <c r="E65" s="11"/>
      <c r="F65" s="11"/>
      <c r="G65" s="11"/>
      <c r="H65" s="11"/>
      <c r="I65" s="11"/>
      <c r="J65" s="11"/>
      <c r="K65" s="11"/>
      <c r="L65" s="11"/>
    </row>
    <row r="66" spans="1:28" ht="17" x14ac:dyDescent="0.25">
      <c r="A66" s="58" t="s">
        <v>116</v>
      </c>
      <c r="B66" s="11">
        <v>11847</v>
      </c>
      <c r="C66" s="11">
        <v>12181</v>
      </c>
      <c r="D66" s="20">
        <v>10270</v>
      </c>
      <c r="E66" s="11">
        <v>10805</v>
      </c>
      <c r="F66" s="11">
        <v>11363</v>
      </c>
      <c r="G66" s="11">
        <v>11601</v>
      </c>
      <c r="H66" s="11">
        <v>11959</v>
      </c>
      <c r="I66" s="11">
        <v>12187</v>
      </c>
      <c r="J66" s="11">
        <v>12388</v>
      </c>
      <c r="K66" s="11">
        <v>12628</v>
      </c>
      <c r="L66" s="11">
        <v>12942</v>
      </c>
    </row>
    <row r="67" spans="1:28" ht="17" x14ac:dyDescent="0.25">
      <c r="A67" s="58" t="s">
        <v>117</v>
      </c>
      <c r="B67" s="11">
        <v>12552</v>
      </c>
      <c r="C67" s="11">
        <v>12921</v>
      </c>
      <c r="D67" s="20">
        <v>16321</v>
      </c>
      <c r="E67" s="11">
        <v>17196</v>
      </c>
      <c r="F67" s="11">
        <v>18221</v>
      </c>
      <c r="G67" s="11">
        <v>19532</v>
      </c>
      <c r="H67" s="11">
        <v>20783</v>
      </c>
      <c r="I67" s="11">
        <v>21818</v>
      </c>
      <c r="J67" s="11">
        <v>22517</v>
      </c>
      <c r="K67" s="11">
        <v>22772</v>
      </c>
      <c r="L67" s="11">
        <v>23840</v>
      </c>
    </row>
    <row r="68" spans="1:28" ht="17" x14ac:dyDescent="0.25">
      <c r="A68" s="59" t="s">
        <v>118</v>
      </c>
      <c r="B68" s="46">
        <v>321</v>
      </c>
      <c r="C68" s="46">
        <v>359</v>
      </c>
      <c r="D68" s="47">
        <v>172</v>
      </c>
      <c r="E68" s="46">
        <v>222</v>
      </c>
      <c r="F68" s="46">
        <v>257</v>
      </c>
      <c r="G68" s="46">
        <v>337</v>
      </c>
      <c r="H68" s="46">
        <v>402</v>
      </c>
      <c r="I68" s="46">
        <v>467</v>
      </c>
      <c r="J68" s="46">
        <v>541</v>
      </c>
      <c r="K68" s="46">
        <v>553</v>
      </c>
      <c r="L68" s="46">
        <v>610</v>
      </c>
      <c r="M68" s="34"/>
      <c r="N68" s="34"/>
      <c r="O68" s="3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spans="1:28" ht="17" x14ac:dyDescent="0.25">
      <c r="A69" s="245" t="s">
        <v>410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</row>
    <row r="70" spans="1:28" x14ac:dyDescent="0.25">
      <c r="A70" s="35"/>
      <c r="B70" s="11"/>
      <c r="C70" s="11"/>
      <c r="D70" s="20"/>
      <c r="E70" s="11"/>
      <c r="F70" s="11"/>
      <c r="G70" s="11"/>
      <c r="H70" s="11"/>
      <c r="I70" s="11"/>
      <c r="J70" s="11"/>
      <c r="K70" s="11"/>
      <c r="L70" s="11"/>
    </row>
    <row r="71" spans="1:28" x14ac:dyDescent="0.25">
      <c r="A71" s="35"/>
      <c r="B71" s="11"/>
      <c r="C71" s="11"/>
      <c r="D71" s="20"/>
      <c r="E71" s="11"/>
      <c r="F71" s="11"/>
      <c r="G71" s="11"/>
      <c r="H71" s="11"/>
      <c r="I71" s="11"/>
      <c r="J71" s="11"/>
      <c r="K71" s="11"/>
      <c r="L71" s="11"/>
    </row>
  </sheetData>
  <mergeCells count="1">
    <mergeCell ref="A69:P69"/>
  </mergeCells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69"/>
  <sheetViews>
    <sheetView workbookViewId="0">
      <selection activeCell="A69" sqref="A69"/>
    </sheetView>
  </sheetViews>
  <sheetFormatPr defaultRowHeight="12.5" x14ac:dyDescent="0.25"/>
  <cols>
    <col min="1" max="1" width="15.81640625" style="1" customWidth="1"/>
    <col min="2" max="2" width="7.453125" style="1" customWidth="1"/>
    <col min="3" max="3" width="7.54296875" style="1" customWidth="1"/>
    <col min="4" max="4" width="7.1796875" style="1" customWidth="1"/>
    <col min="5" max="5" width="8" style="1" customWidth="1"/>
    <col min="6" max="6" width="7.1796875" style="1" customWidth="1"/>
    <col min="7" max="8" width="7.81640625" style="1" customWidth="1"/>
    <col min="9" max="9" width="7.1796875" style="1" customWidth="1"/>
    <col min="10" max="10" width="6.81640625" style="1" customWidth="1"/>
    <col min="11" max="11" width="7.1796875" style="1" customWidth="1"/>
    <col min="12" max="12" width="7.81640625" style="1" customWidth="1"/>
    <col min="13" max="15" width="7.54296875" style="1" customWidth="1"/>
    <col min="16" max="28" width="7.54296875" customWidth="1"/>
  </cols>
  <sheetData>
    <row r="1" spans="1:28" ht="20.5" x14ac:dyDescent="0.85">
      <c r="A1" s="55" t="s">
        <v>128</v>
      </c>
    </row>
    <row r="2" spans="1:28" s="1" customFormat="1" ht="10" x14ac:dyDescent="0.2"/>
    <row r="3" spans="1:28" s="1" customFormat="1" ht="26.25" customHeight="1" x14ac:dyDescent="0.2">
      <c r="A3" s="56" t="s">
        <v>90</v>
      </c>
      <c r="B3" s="30">
        <v>1998</v>
      </c>
      <c r="C3" s="30">
        <v>1999</v>
      </c>
      <c r="D3" s="30">
        <v>2000</v>
      </c>
      <c r="E3" s="30">
        <v>2001</v>
      </c>
      <c r="F3" s="30">
        <v>2002</v>
      </c>
      <c r="G3" s="30">
        <v>2003</v>
      </c>
      <c r="H3" s="30">
        <v>2004</v>
      </c>
      <c r="I3" s="30">
        <v>2005</v>
      </c>
      <c r="J3" s="30">
        <v>2006</v>
      </c>
      <c r="K3" s="30">
        <v>2007</v>
      </c>
      <c r="L3" s="30">
        <v>2008</v>
      </c>
      <c r="M3" s="30">
        <v>2009</v>
      </c>
      <c r="N3" s="30">
        <v>2010</v>
      </c>
      <c r="O3" s="30">
        <v>2011</v>
      </c>
      <c r="P3" s="30">
        <v>2012</v>
      </c>
      <c r="Q3" s="30">
        <v>2013</v>
      </c>
      <c r="R3" s="30">
        <v>2014</v>
      </c>
      <c r="S3" s="30">
        <v>2015</v>
      </c>
      <c r="T3" s="30">
        <v>2016</v>
      </c>
      <c r="U3" s="30">
        <v>2017</v>
      </c>
      <c r="V3" s="30">
        <v>2018</v>
      </c>
      <c r="W3" s="30">
        <v>2019</v>
      </c>
      <c r="X3" s="30">
        <v>2020</v>
      </c>
      <c r="Y3" s="30">
        <v>2021</v>
      </c>
      <c r="Z3" s="30">
        <v>2022</v>
      </c>
      <c r="AA3" s="30">
        <v>2023</v>
      </c>
      <c r="AB3" s="30">
        <v>2024</v>
      </c>
    </row>
    <row r="4" spans="1:28" s="1" customFormat="1" ht="17" x14ac:dyDescent="0.2">
      <c r="A4" s="63" t="s">
        <v>126</v>
      </c>
      <c r="D4" s="6"/>
      <c r="E4" s="6"/>
      <c r="F4" s="6"/>
      <c r="G4" s="6"/>
      <c r="H4" s="6"/>
      <c r="I4" s="6"/>
      <c r="J4" s="6"/>
    </row>
    <row r="5" spans="1:28" s="1" customFormat="1" ht="17" x14ac:dyDescent="0.2">
      <c r="A5" s="57" t="s">
        <v>91</v>
      </c>
      <c r="B5" s="11">
        <v>2894</v>
      </c>
      <c r="C5" s="11">
        <v>2903</v>
      </c>
      <c r="D5" s="11">
        <v>2836</v>
      </c>
      <c r="E5" s="11">
        <v>2977</v>
      </c>
      <c r="F5" s="11">
        <v>3140</v>
      </c>
      <c r="G5" s="11">
        <v>3251</v>
      </c>
      <c r="H5" s="11">
        <v>3512</v>
      </c>
      <c r="I5" s="11">
        <v>3744</v>
      </c>
      <c r="J5" s="11">
        <v>3740</v>
      </c>
      <c r="K5" s="11">
        <v>3770</v>
      </c>
      <c r="L5" s="11">
        <v>3980</v>
      </c>
    </row>
    <row r="6" spans="1:28" s="1" customFormat="1" ht="17" x14ac:dyDescent="0.2">
      <c r="A6" s="57" t="s">
        <v>92</v>
      </c>
      <c r="B6" s="11">
        <v>4451</v>
      </c>
      <c r="C6" s="11">
        <v>4571</v>
      </c>
      <c r="D6" s="11">
        <v>4636</v>
      </c>
      <c r="E6" s="11">
        <v>4911</v>
      </c>
      <c r="F6" s="11">
        <v>5284</v>
      </c>
      <c r="G6" s="11">
        <v>5848</v>
      </c>
      <c r="H6" s="11">
        <v>5982</v>
      </c>
      <c r="I6" s="11">
        <v>5980</v>
      </c>
      <c r="J6" s="11">
        <v>5967</v>
      </c>
      <c r="K6" s="11">
        <v>5864</v>
      </c>
      <c r="L6" s="11">
        <v>6075</v>
      </c>
    </row>
    <row r="7" spans="1:28" s="1" customFormat="1" ht="17" x14ac:dyDescent="0.2">
      <c r="A7" s="57" t="s">
        <v>93</v>
      </c>
      <c r="B7" s="11">
        <v>8384</v>
      </c>
      <c r="C7" s="11">
        <v>8218</v>
      </c>
      <c r="D7" s="11">
        <v>8285</v>
      </c>
      <c r="E7" s="11">
        <v>8549</v>
      </c>
      <c r="F7" s="11">
        <v>8820</v>
      </c>
      <c r="G7" s="11">
        <v>8979</v>
      </c>
      <c r="H7" s="11">
        <v>9003</v>
      </c>
      <c r="I7" s="11">
        <v>8998</v>
      </c>
      <c r="J7" s="11">
        <v>8947</v>
      </c>
      <c r="K7" s="11">
        <v>8620</v>
      </c>
      <c r="L7" s="11">
        <v>8841</v>
      </c>
    </row>
    <row r="8" spans="1:28" s="1" customFormat="1" ht="17" x14ac:dyDescent="0.2">
      <c r="A8" s="57" t="s">
        <v>94</v>
      </c>
      <c r="B8" s="11">
        <v>2064</v>
      </c>
      <c r="C8" s="11">
        <v>2054</v>
      </c>
      <c r="D8" s="11">
        <v>2119</v>
      </c>
      <c r="E8" s="11">
        <v>2248</v>
      </c>
      <c r="F8" s="11">
        <v>2461</v>
      </c>
      <c r="G8" s="11">
        <v>2599</v>
      </c>
      <c r="H8" s="11">
        <v>2668</v>
      </c>
      <c r="I8" s="11">
        <v>2623</v>
      </c>
      <c r="J8" s="11">
        <v>2669</v>
      </c>
      <c r="K8" s="11">
        <v>2622</v>
      </c>
      <c r="L8" s="11">
        <v>2731</v>
      </c>
    </row>
    <row r="9" spans="1:28" s="1" customFormat="1" ht="17" x14ac:dyDescent="0.2">
      <c r="A9" s="57" t="s">
        <v>95</v>
      </c>
      <c r="B9" s="11">
        <v>3214</v>
      </c>
      <c r="C9" s="11">
        <v>3282</v>
      </c>
      <c r="D9" s="11">
        <v>3322</v>
      </c>
      <c r="E9" s="11">
        <v>3367</v>
      </c>
      <c r="F9" s="11">
        <v>3449</v>
      </c>
      <c r="G9" s="11">
        <v>3641</v>
      </c>
      <c r="H9" s="11">
        <v>3753</v>
      </c>
      <c r="I9" s="11">
        <v>3742</v>
      </c>
      <c r="J9" s="11">
        <v>3922</v>
      </c>
      <c r="K9" s="11">
        <v>3831</v>
      </c>
      <c r="L9" s="11">
        <v>3924</v>
      </c>
    </row>
    <row r="10" spans="1:28" s="1" customFormat="1" ht="17" x14ac:dyDescent="0.2">
      <c r="A10" s="57" t="s">
        <v>96</v>
      </c>
      <c r="B10" s="11">
        <v>2907</v>
      </c>
      <c r="C10" s="11">
        <v>3027</v>
      </c>
      <c r="D10" s="11">
        <v>3025</v>
      </c>
      <c r="E10" s="11">
        <v>3162</v>
      </c>
      <c r="F10" s="11">
        <v>3260</v>
      </c>
      <c r="G10" s="11">
        <v>3414</v>
      </c>
      <c r="H10" s="11">
        <v>3652</v>
      </c>
      <c r="I10" s="11">
        <v>3727</v>
      </c>
      <c r="J10" s="11">
        <v>3819</v>
      </c>
      <c r="K10" s="11">
        <v>3725</v>
      </c>
      <c r="L10" s="11">
        <v>3689</v>
      </c>
    </row>
    <row r="11" spans="1:28" s="1" customFormat="1" ht="17" x14ac:dyDescent="0.2">
      <c r="A11" s="57" t="s">
        <v>97</v>
      </c>
      <c r="B11" s="11">
        <v>3222</v>
      </c>
      <c r="C11" s="11">
        <v>3289</v>
      </c>
      <c r="D11" s="11">
        <v>3224</v>
      </c>
      <c r="E11" s="11">
        <v>3444</v>
      </c>
      <c r="F11" s="11">
        <v>3627</v>
      </c>
      <c r="G11" s="11">
        <v>3796</v>
      </c>
      <c r="H11" s="11">
        <v>3994</v>
      </c>
      <c r="I11" s="11">
        <v>4075</v>
      </c>
      <c r="J11" s="11">
        <v>4059</v>
      </c>
      <c r="K11" s="11">
        <v>4075</v>
      </c>
      <c r="L11" s="11">
        <v>4178</v>
      </c>
    </row>
    <row r="12" spans="1:28" s="1" customFormat="1" ht="17" x14ac:dyDescent="0.2">
      <c r="A12" s="57" t="s">
        <v>98</v>
      </c>
      <c r="B12" s="11">
        <v>6408</v>
      </c>
      <c r="C12" s="11">
        <v>6395</v>
      </c>
      <c r="D12" s="11">
        <v>6576</v>
      </c>
      <c r="E12" s="11">
        <v>6715</v>
      </c>
      <c r="F12" s="11">
        <v>7023</v>
      </c>
      <c r="G12" s="11">
        <v>7318</v>
      </c>
      <c r="H12" s="11">
        <v>7512</v>
      </c>
      <c r="I12" s="11">
        <v>7945</v>
      </c>
      <c r="J12" s="11">
        <v>7926</v>
      </c>
      <c r="K12" s="11">
        <v>7950</v>
      </c>
      <c r="L12" s="11">
        <v>8014</v>
      </c>
    </row>
    <row r="13" spans="1:28" s="1" customFormat="1" ht="17" x14ac:dyDescent="0.2">
      <c r="A13" s="57" t="s">
        <v>99</v>
      </c>
      <c r="B13" s="11">
        <v>312</v>
      </c>
      <c r="C13" s="11">
        <v>335</v>
      </c>
      <c r="D13" s="11">
        <v>319</v>
      </c>
      <c r="E13" s="11">
        <v>356</v>
      </c>
      <c r="F13" s="11">
        <v>380</v>
      </c>
      <c r="G13" s="11">
        <v>435</v>
      </c>
      <c r="H13" s="11">
        <v>493</v>
      </c>
      <c r="I13" s="11">
        <v>540</v>
      </c>
      <c r="J13" s="11">
        <v>632</v>
      </c>
      <c r="K13" s="11">
        <v>662</v>
      </c>
      <c r="L13" s="11">
        <v>768</v>
      </c>
    </row>
    <row r="14" spans="1:28" s="1" customFormat="1" ht="17" x14ac:dyDescent="0.2">
      <c r="A14" s="57" t="s">
        <v>100</v>
      </c>
      <c r="B14" s="11">
        <v>1644</v>
      </c>
      <c r="C14" s="11">
        <v>1645</v>
      </c>
      <c r="D14" s="11">
        <v>1657</v>
      </c>
      <c r="E14" s="11">
        <v>1792</v>
      </c>
      <c r="F14" s="11">
        <v>1886</v>
      </c>
      <c r="G14" s="11">
        <v>1986</v>
      </c>
      <c r="H14" s="11">
        <v>2122</v>
      </c>
      <c r="I14" s="11">
        <v>2117</v>
      </c>
      <c r="J14" s="11">
        <v>2122</v>
      </c>
      <c r="K14" s="11">
        <v>2088</v>
      </c>
      <c r="L14" s="11">
        <v>2107</v>
      </c>
    </row>
    <row r="15" spans="1:28" s="1" customFormat="1" ht="17" x14ac:dyDescent="0.2">
      <c r="A15" s="57" t="s">
        <v>101</v>
      </c>
      <c r="B15" s="11">
        <v>99</v>
      </c>
      <c r="C15" s="11">
        <v>110</v>
      </c>
      <c r="D15" s="11">
        <v>114</v>
      </c>
      <c r="E15" s="11">
        <v>102</v>
      </c>
      <c r="F15" s="11">
        <v>123</v>
      </c>
      <c r="G15" s="11">
        <v>171</v>
      </c>
      <c r="H15" s="11">
        <v>214</v>
      </c>
      <c r="I15" s="11">
        <v>255</v>
      </c>
      <c r="J15" s="11">
        <v>294</v>
      </c>
      <c r="K15" s="11">
        <v>310</v>
      </c>
      <c r="L15" s="11">
        <v>321</v>
      </c>
    </row>
    <row r="16" spans="1:28" s="1" customFormat="1" ht="17" x14ac:dyDescent="0.2">
      <c r="A16" s="57" t="s">
        <v>102</v>
      </c>
      <c r="B16" s="11">
        <v>6164</v>
      </c>
      <c r="C16" s="11">
        <v>6241</v>
      </c>
      <c r="D16" s="11">
        <v>6648</v>
      </c>
      <c r="E16" s="11">
        <v>7078</v>
      </c>
      <c r="F16" s="11">
        <v>7734</v>
      </c>
      <c r="G16" s="11">
        <v>8007</v>
      </c>
      <c r="H16" s="11">
        <v>8245</v>
      </c>
      <c r="I16" s="11">
        <v>8142</v>
      </c>
      <c r="J16" s="11">
        <v>8128</v>
      </c>
      <c r="K16" s="11">
        <v>8218</v>
      </c>
      <c r="L16" s="11">
        <v>8380</v>
      </c>
    </row>
    <row r="17" spans="1:12" s="1" customFormat="1" ht="17" x14ac:dyDescent="0.2">
      <c r="A17" s="57" t="s">
        <v>103</v>
      </c>
      <c r="B17" s="11">
        <v>538</v>
      </c>
      <c r="C17" s="11">
        <v>551</v>
      </c>
      <c r="D17" s="11">
        <v>589</v>
      </c>
      <c r="E17" s="11">
        <v>631</v>
      </c>
      <c r="F17" s="11">
        <v>650</v>
      </c>
      <c r="G17" s="11">
        <v>777</v>
      </c>
      <c r="H17" s="11">
        <v>851</v>
      </c>
      <c r="I17" s="11">
        <v>889</v>
      </c>
      <c r="J17" s="11">
        <v>899</v>
      </c>
      <c r="K17" s="11">
        <v>907</v>
      </c>
      <c r="L17" s="11">
        <v>1004</v>
      </c>
    </row>
    <row r="18" spans="1:12" s="1" customFormat="1" ht="17" x14ac:dyDescent="0.2">
      <c r="A18" s="57" t="s">
        <v>104</v>
      </c>
      <c r="B18" s="11">
        <v>5555</v>
      </c>
      <c r="C18" s="11">
        <v>5629</v>
      </c>
      <c r="D18" s="11">
        <v>5554</v>
      </c>
      <c r="E18" s="11">
        <v>5758</v>
      </c>
      <c r="F18" s="11">
        <v>6095</v>
      </c>
      <c r="G18" s="11">
        <v>6019</v>
      </c>
      <c r="H18" s="11">
        <v>6016</v>
      </c>
      <c r="I18" s="11">
        <v>5991</v>
      </c>
      <c r="J18" s="11">
        <v>5838</v>
      </c>
      <c r="K18" s="11">
        <v>5672</v>
      </c>
      <c r="L18" s="11">
        <v>5500</v>
      </c>
    </row>
    <row r="19" spans="1:12" s="1" customFormat="1" ht="17" x14ac:dyDescent="0.2">
      <c r="A19" s="57" t="s">
        <v>105</v>
      </c>
      <c r="B19" s="11">
        <v>1989</v>
      </c>
      <c r="C19" s="11">
        <v>1979</v>
      </c>
      <c r="D19" s="11">
        <v>1996</v>
      </c>
      <c r="E19" s="11">
        <v>2128</v>
      </c>
      <c r="F19" s="11">
        <v>2338</v>
      </c>
      <c r="G19" s="11">
        <v>2417</v>
      </c>
      <c r="H19" s="11">
        <v>2513</v>
      </c>
      <c r="I19" s="11">
        <v>2547</v>
      </c>
      <c r="J19" s="11">
        <v>2516</v>
      </c>
      <c r="K19" s="11">
        <v>2507</v>
      </c>
      <c r="L19" s="11">
        <v>2581</v>
      </c>
    </row>
    <row r="20" spans="1:12" s="1" customFormat="1" ht="17" x14ac:dyDescent="0.2">
      <c r="A20" s="57" t="s">
        <v>106</v>
      </c>
      <c r="B20" s="11">
        <v>230</v>
      </c>
      <c r="C20" s="11">
        <v>246</v>
      </c>
      <c r="D20" s="11">
        <v>261</v>
      </c>
      <c r="E20" s="11">
        <v>260</v>
      </c>
      <c r="F20" s="11">
        <v>253</v>
      </c>
      <c r="G20" s="11">
        <v>275</v>
      </c>
      <c r="H20" s="11">
        <v>347</v>
      </c>
      <c r="I20" s="11">
        <v>422</v>
      </c>
      <c r="J20" s="11">
        <v>484</v>
      </c>
      <c r="K20" s="11">
        <v>503</v>
      </c>
      <c r="L20" s="11">
        <v>549</v>
      </c>
    </row>
    <row r="21" spans="1:12" s="1" customFormat="1" ht="17" x14ac:dyDescent="0.2">
      <c r="A21" s="57" t="s">
        <v>107</v>
      </c>
      <c r="B21" s="11">
        <v>2868</v>
      </c>
      <c r="C21" s="11">
        <v>2960</v>
      </c>
      <c r="D21" s="11">
        <v>2855</v>
      </c>
      <c r="E21" s="11">
        <v>2979</v>
      </c>
      <c r="F21" s="11">
        <v>3057</v>
      </c>
      <c r="G21" s="11">
        <v>3080</v>
      </c>
      <c r="H21" s="11">
        <v>3214</v>
      </c>
      <c r="I21" s="11">
        <v>3417</v>
      </c>
      <c r="J21" s="11">
        <v>3501</v>
      </c>
      <c r="K21" s="11">
        <v>3579</v>
      </c>
      <c r="L21" s="11">
        <v>3893</v>
      </c>
    </row>
    <row r="22" spans="1:12" s="1" customFormat="1" ht="17" x14ac:dyDescent="0.2">
      <c r="A22" s="57" t="s">
        <v>108</v>
      </c>
      <c r="B22" s="11">
        <v>761</v>
      </c>
      <c r="C22" s="11">
        <v>788</v>
      </c>
      <c r="D22" s="11">
        <v>831</v>
      </c>
      <c r="E22" s="11">
        <v>924</v>
      </c>
      <c r="F22" s="11">
        <v>1054</v>
      </c>
      <c r="G22" s="11">
        <v>1061</v>
      </c>
      <c r="H22" s="11">
        <v>1099</v>
      </c>
      <c r="I22" s="11">
        <v>1171</v>
      </c>
      <c r="J22" s="11">
        <v>1226</v>
      </c>
      <c r="K22" s="11">
        <v>1240</v>
      </c>
      <c r="L22" s="11">
        <v>1262</v>
      </c>
    </row>
    <row r="23" spans="1:12" s="1" customFormat="1" ht="17" x14ac:dyDescent="0.2">
      <c r="A23" s="57" t="s">
        <v>109</v>
      </c>
      <c r="B23" s="11">
        <v>397</v>
      </c>
      <c r="C23" s="11">
        <v>384</v>
      </c>
      <c r="D23" s="11">
        <v>406</v>
      </c>
      <c r="E23" s="11">
        <v>487</v>
      </c>
      <c r="F23" s="11">
        <v>521</v>
      </c>
      <c r="G23" s="11">
        <v>569</v>
      </c>
      <c r="H23" s="11">
        <v>628</v>
      </c>
      <c r="I23" s="11">
        <v>684</v>
      </c>
      <c r="J23" s="11">
        <v>711</v>
      </c>
      <c r="K23" s="11">
        <v>735</v>
      </c>
      <c r="L23" s="11">
        <v>772</v>
      </c>
    </row>
    <row r="24" spans="1:12" s="1" customFormat="1" ht="17" x14ac:dyDescent="0.2">
      <c r="A24" s="57" t="s">
        <v>110</v>
      </c>
      <c r="B24" s="11">
        <v>2829</v>
      </c>
      <c r="C24" s="11">
        <v>2806</v>
      </c>
      <c r="D24" s="11">
        <v>2813</v>
      </c>
      <c r="E24" s="11">
        <v>2995</v>
      </c>
      <c r="F24" s="11">
        <v>2980</v>
      </c>
      <c r="G24" s="11">
        <v>3335</v>
      </c>
      <c r="H24" s="11">
        <v>3433</v>
      </c>
      <c r="I24" s="11">
        <v>3512</v>
      </c>
      <c r="J24" s="11">
        <v>3626</v>
      </c>
      <c r="K24" s="11">
        <v>3525</v>
      </c>
      <c r="L24" s="11">
        <v>3563</v>
      </c>
    </row>
    <row r="25" spans="1:12" s="1" customFormat="1" ht="17" x14ac:dyDescent="0.2">
      <c r="A25" s="57" t="s">
        <v>111</v>
      </c>
      <c r="B25" s="11">
        <v>4799</v>
      </c>
      <c r="C25" s="11">
        <v>5032</v>
      </c>
      <c r="D25" s="11">
        <v>4976</v>
      </c>
      <c r="E25" s="11">
        <v>5305</v>
      </c>
      <c r="F25" s="11">
        <v>5750</v>
      </c>
      <c r="G25" s="11">
        <v>5829</v>
      </c>
      <c r="H25" s="11">
        <v>5980</v>
      </c>
      <c r="I25" s="11">
        <v>6102</v>
      </c>
      <c r="J25" s="11">
        <v>6231</v>
      </c>
      <c r="K25" s="11">
        <v>6152</v>
      </c>
      <c r="L25" s="11">
        <v>6195</v>
      </c>
    </row>
    <row r="26" spans="1:12" s="1" customFormat="1" ht="17" x14ac:dyDescent="0.2">
      <c r="A26" s="57" t="s">
        <v>112</v>
      </c>
      <c r="B26" s="15" t="s">
        <v>21</v>
      </c>
      <c r="C26" s="15" t="s">
        <v>21</v>
      </c>
      <c r="D26" s="11">
        <v>310</v>
      </c>
      <c r="E26" s="11">
        <v>358</v>
      </c>
      <c r="F26" s="11">
        <v>362</v>
      </c>
      <c r="G26" s="11">
        <v>423</v>
      </c>
      <c r="H26" s="11">
        <v>577</v>
      </c>
      <c r="I26" s="11">
        <v>699</v>
      </c>
      <c r="J26" s="11">
        <v>760</v>
      </c>
      <c r="K26" s="11">
        <v>829</v>
      </c>
      <c r="L26" s="11">
        <v>860</v>
      </c>
    </row>
    <row r="27" spans="1:12" s="1" customFormat="1" ht="17" x14ac:dyDescent="0.2">
      <c r="A27" s="57" t="s">
        <v>113</v>
      </c>
      <c r="B27" s="11">
        <v>127</v>
      </c>
      <c r="C27" s="11">
        <v>137</v>
      </c>
      <c r="D27" s="11">
        <v>149</v>
      </c>
      <c r="E27" s="11">
        <v>173</v>
      </c>
      <c r="F27" s="11">
        <v>214</v>
      </c>
      <c r="G27" s="11">
        <v>237</v>
      </c>
      <c r="H27" s="11">
        <v>302</v>
      </c>
      <c r="I27" s="11">
        <v>291</v>
      </c>
      <c r="J27" s="11">
        <v>302</v>
      </c>
      <c r="K27" s="11">
        <v>301</v>
      </c>
      <c r="L27" s="11">
        <v>317</v>
      </c>
    </row>
    <row r="28" spans="1:12" s="1" customFormat="1" ht="17" x14ac:dyDescent="0.2">
      <c r="A28" s="57" t="s">
        <v>114</v>
      </c>
      <c r="B28" s="11">
        <v>48</v>
      </c>
      <c r="C28" s="11">
        <v>65</v>
      </c>
      <c r="D28" s="11">
        <v>84</v>
      </c>
      <c r="E28" s="11">
        <v>113</v>
      </c>
      <c r="F28" s="11">
        <v>147</v>
      </c>
      <c r="G28" s="11">
        <v>175</v>
      </c>
      <c r="H28" s="11">
        <v>240</v>
      </c>
      <c r="I28" s="11">
        <v>284</v>
      </c>
      <c r="J28" s="11">
        <v>287</v>
      </c>
      <c r="K28" s="11">
        <v>289</v>
      </c>
      <c r="L28" s="11">
        <v>319</v>
      </c>
    </row>
    <row r="29" spans="1:12" s="1" customFormat="1" ht="17" x14ac:dyDescent="0.2">
      <c r="A29" s="57" t="s">
        <v>115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1" customFormat="1" ht="17" x14ac:dyDescent="0.2">
      <c r="A30" s="5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s="1" customFormat="1" ht="17" x14ac:dyDescent="0.2">
      <c r="A31" s="60" t="s">
        <v>83</v>
      </c>
      <c r="B31" s="11">
        <v>61904</v>
      </c>
      <c r="C31" s="11">
        <v>62647</v>
      </c>
      <c r="D31" s="11">
        <v>63585</v>
      </c>
      <c r="E31" s="11">
        <v>66812</v>
      </c>
      <c r="F31" s="11">
        <v>70608</v>
      </c>
      <c r="G31" s="11">
        <v>73642</v>
      </c>
      <c r="H31" s="11">
        <v>76350</v>
      </c>
      <c r="I31" s="11">
        <v>77897</v>
      </c>
      <c r="J31" s="11">
        <v>78606</v>
      </c>
      <c r="K31" s="11">
        <v>77974</v>
      </c>
      <c r="L31" s="11">
        <v>79823</v>
      </c>
    </row>
    <row r="32" spans="1:12" s="1" customFormat="1" ht="17" x14ac:dyDescent="0.2">
      <c r="A32" s="5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s="1" customFormat="1" ht="17" x14ac:dyDescent="0.2">
      <c r="A33" s="58" t="s">
        <v>116</v>
      </c>
      <c r="B33" s="11">
        <v>21014</v>
      </c>
      <c r="C33" s="11">
        <v>21337</v>
      </c>
      <c r="D33" s="11">
        <v>16612</v>
      </c>
      <c r="E33" s="11">
        <v>17765</v>
      </c>
      <c r="F33" s="11">
        <v>19037</v>
      </c>
      <c r="G33" s="11">
        <v>19550</v>
      </c>
      <c r="H33" s="11">
        <v>20098</v>
      </c>
      <c r="I33" s="11">
        <v>20277</v>
      </c>
      <c r="J33" s="11">
        <v>20368</v>
      </c>
      <c r="K33" s="11">
        <v>20459</v>
      </c>
      <c r="L33" s="11">
        <v>20832</v>
      </c>
    </row>
    <row r="34" spans="1:12" s="1" customFormat="1" ht="17" x14ac:dyDescent="0.2">
      <c r="A34" s="58" t="s">
        <v>117</v>
      </c>
      <c r="B34" s="11">
        <v>38365</v>
      </c>
      <c r="C34" s="11">
        <v>38727</v>
      </c>
      <c r="D34" s="11">
        <v>46150</v>
      </c>
      <c r="E34" s="11">
        <v>48056</v>
      </c>
      <c r="F34" s="11">
        <v>50508</v>
      </c>
      <c r="G34" s="11">
        <v>52783</v>
      </c>
      <c r="H34" s="11">
        <v>54686</v>
      </c>
      <c r="I34" s="11">
        <v>55852</v>
      </c>
      <c r="J34" s="11">
        <v>56278</v>
      </c>
      <c r="K34" s="11">
        <v>55599</v>
      </c>
      <c r="L34" s="11">
        <v>56801</v>
      </c>
    </row>
    <row r="35" spans="1:12" s="1" customFormat="1" ht="17" x14ac:dyDescent="0.2">
      <c r="A35" s="64" t="s">
        <v>118</v>
      </c>
      <c r="B35" s="46">
        <v>2525</v>
      </c>
      <c r="C35" s="46">
        <v>2583</v>
      </c>
      <c r="D35" s="46">
        <v>823</v>
      </c>
      <c r="E35" s="46">
        <v>991</v>
      </c>
      <c r="F35" s="46">
        <v>1063</v>
      </c>
      <c r="G35" s="46">
        <v>1309</v>
      </c>
      <c r="H35" s="46">
        <v>1566</v>
      </c>
      <c r="I35" s="46">
        <v>1768</v>
      </c>
      <c r="J35" s="46">
        <v>1960</v>
      </c>
      <c r="K35" s="46">
        <v>1916</v>
      </c>
      <c r="L35" s="46">
        <v>2190</v>
      </c>
    </row>
    <row r="36" spans="1:12" s="1" customFormat="1" ht="10" x14ac:dyDescent="0.2">
      <c r="A36" s="12"/>
      <c r="D36" s="11"/>
      <c r="E36" s="11"/>
      <c r="F36" s="11"/>
      <c r="G36" s="11"/>
      <c r="H36" s="11"/>
      <c r="K36" s="11"/>
      <c r="L36" s="11"/>
    </row>
    <row r="37" spans="1:12" s="1" customFormat="1" ht="17" x14ac:dyDescent="0.2">
      <c r="A37" s="60" t="s">
        <v>127</v>
      </c>
    </row>
    <row r="38" spans="1:12" s="1" customFormat="1" ht="17" x14ac:dyDescent="0.2">
      <c r="A38" s="57" t="s">
        <v>91</v>
      </c>
      <c r="B38" s="11">
        <v>793</v>
      </c>
      <c r="C38" s="11">
        <v>850</v>
      </c>
      <c r="D38" s="11">
        <v>917</v>
      </c>
      <c r="E38" s="11">
        <v>997</v>
      </c>
      <c r="F38" s="11">
        <v>1076</v>
      </c>
      <c r="G38" s="11">
        <v>1179</v>
      </c>
      <c r="H38" s="11">
        <v>1289</v>
      </c>
      <c r="I38" s="11">
        <v>1414</v>
      </c>
      <c r="J38" s="11">
        <v>1425</v>
      </c>
      <c r="K38" s="11">
        <v>1446</v>
      </c>
      <c r="L38" s="11">
        <v>1559</v>
      </c>
    </row>
    <row r="39" spans="1:12" s="1" customFormat="1" ht="17" x14ac:dyDescent="0.2">
      <c r="A39" s="57" t="s">
        <v>92</v>
      </c>
      <c r="B39" s="11">
        <v>1885</v>
      </c>
      <c r="C39" s="11">
        <v>1944</v>
      </c>
      <c r="D39" s="11">
        <v>2064</v>
      </c>
      <c r="E39" s="11">
        <v>2241</v>
      </c>
      <c r="F39" s="11">
        <v>2421</v>
      </c>
      <c r="G39" s="11">
        <v>2747</v>
      </c>
      <c r="H39" s="11">
        <v>2884</v>
      </c>
      <c r="I39" s="11">
        <v>2941</v>
      </c>
      <c r="J39" s="11">
        <v>3007</v>
      </c>
      <c r="K39" s="11">
        <v>3003</v>
      </c>
      <c r="L39" s="11">
        <v>3150</v>
      </c>
    </row>
    <row r="40" spans="1:12" s="1" customFormat="1" ht="17" x14ac:dyDescent="0.2">
      <c r="A40" s="57" t="s">
        <v>93</v>
      </c>
      <c r="B40" s="11">
        <v>3072</v>
      </c>
      <c r="C40" s="11">
        <v>3071</v>
      </c>
      <c r="D40" s="11">
        <v>3169</v>
      </c>
      <c r="E40" s="11">
        <v>3388</v>
      </c>
      <c r="F40" s="11">
        <v>3551</v>
      </c>
      <c r="G40" s="11">
        <v>3690</v>
      </c>
      <c r="H40" s="11">
        <v>3771</v>
      </c>
      <c r="I40" s="11">
        <v>3854</v>
      </c>
      <c r="J40" s="11">
        <v>3869</v>
      </c>
      <c r="K40" s="11">
        <v>3819</v>
      </c>
      <c r="L40" s="11">
        <v>3969</v>
      </c>
    </row>
    <row r="41" spans="1:12" s="1" customFormat="1" ht="17" x14ac:dyDescent="0.2">
      <c r="A41" s="57" t="s">
        <v>94</v>
      </c>
      <c r="B41" s="11">
        <v>650</v>
      </c>
      <c r="C41" s="11">
        <v>633</v>
      </c>
      <c r="D41" s="11">
        <v>660</v>
      </c>
      <c r="E41" s="11">
        <v>696</v>
      </c>
      <c r="F41" s="11">
        <v>783</v>
      </c>
      <c r="G41" s="11">
        <v>849</v>
      </c>
      <c r="H41" s="11">
        <v>888</v>
      </c>
      <c r="I41" s="11">
        <v>879</v>
      </c>
      <c r="J41" s="11">
        <v>919</v>
      </c>
      <c r="K41" s="11">
        <v>926</v>
      </c>
      <c r="L41" s="11">
        <v>994</v>
      </c>
    </row>
    <row r="42" spans="1:12" s="1" customFormat="1" ht="17" x14ac:dyDescent="0.2">
      <c r="A42" s="57" t="s">
        <v>95</v>
      </c>
      <c r="B42" s="11">
        <v>763</v>
      </c>
      <c r="C42" s="11">
        <v>791</v>
      </c>
      <c r="D42" s="11">
        <v>834</v>
      </c>
      <c r="E42" s="11">
        <v>893</v>
      </c>
      <c r="F42" s="11">
        <v>937</v>
      </c>
      <c r="G42" s="11">
        <v>1005</v>
      </c>
      <c r="H42" s="11">
        <v>1082</v>
      </c>
      <c r="I42" s="11">
        <v>1116</v>
      </c>
      <c r="J42" s="11">
        <v>1181</v>
      </c>
      <c r="K42" s="11">
        <v>1179</v>
      </c>
      <c r="L42" s="11">
        <v>1229</v>
      </c>
    </row>
    <row r="43" spans="1:12" s="1" customFormat="1" ht="17" x14ac:dyDescent="0.2">
      <c r="A43" s="57" t="s">
        <v>96</v>
      </c>
      <c r="B43" s="11">
        <v>1016</v>
      </c>
      <c r="C43" s="11">
        <v>1083</v>
      </c>
      <c r="D43" s="11">
        <v>1083</v>
      </c>
      <c r="E43" s="11">
        <v>1200</v>
      </c>
      <c r="F43" s="11">
        <v>1237</v>
      </c>
      <c r="G43" s="11">
        <v>1305</v>
      </c>
      <c r="H43" s="11">
        <v>1409</v>
      </c>
      <c r="I43" s="11">
        <v>1494</v>
      </c>
      <c r="J43" s="11">
        <v>1528</v>
      </c>
      <c r="K43" s="11">
        <v>1507</v>
      </c>
      <c r="L43" s="11">
        <v>1538</v>
      </c>
    </row>
    <row r="44" spans="1:12" s="1" customFormat="1" ht="17" x14ac:dyDescent="0.2">
      <c r="A44" s="57" t="s">
        <v>97</v>
      </c>
      <c r="B44" s="11">
        <v>1135</v>
      </c>
      <c r="C44" s="11">
        <v>1157</v>
      </c>
      <c r="D44" s="11">
        <v>1176</v>
      </c>
      <c r="E44" s="11">
        <v>1281</v>
      </c>
      <c r="F44" s="11">
        <v>1330</v>
      </c>
      <c r="G44" s="11">
        <v>1459</v>
      </c>
      <c r="H44" s="11">
        <v>1546</v>
      </c>
      <c r="I44" s="11">
        <v>1569</v>
      </c>
      <c r="J44" s="11">
        <v>1606</v>
      </c>
      <c r="K44" s="11">
        <v>1634</v>
      </c>
      <c r="L44" s="11">
        <v>1691</v>
      </c>
    </row>
    <row r="45" spans="1:12" s="1" customFormat="1" ht="17" x14ac:dyDescent="0.2">
      <c r="A45" s="57" t="s">
        <v>98</v>
      </c>
      <c r="B45" s="11">
        <v>2553</v>
      </c>
      <c r="C45" s="11">
        <v>2613</v>
      </c>
      <c r="D45" s="11">
        <v>2695</v>
      </c>
      <c r="E45" s="11">
        <v>2818</v>
      </c>
      <c r="F45" s="11">
        <v>2991</v>
      </c>
      <c r="G45" s="11">
        <v>3180</v>
      </c>
      <c r="H45" s="11">
        <v>3269</v>
      </c>
      <c r="I45" s="11">
        <v>3456</v>
      </c>
      <c r="J45" s="11">
        <v>3526</v>
      </c>
      <c r="K45" s="11">
        <v>3561</v>
      </c>
      <c r="L45" s="11">
        <v>3646</v>
      </c>
    </row>
    <row r="46" spans="1:12" s="1" customFormat="1" ht="17" x14ac:dyDescent="0.2">
      <c r="A46" s="57" t="s">
        <v>99</v>
      </c>
      <c r="B46" s="11">
        <v>53</v>
      </c>
      <c r="C46" s="11">
        <v>60</v>
      </c>
      <c r="D46" s="11">
        <v>61</v>
      </c>
      <c r="E46" s="11">
        <v>76</v>
      </c>
      <c r="F46" s="11">
        <v>93</v>
      </c>
      <c r="G46" s="11">
        <v>113</v>
      </c>
      <c r="H46" s="11">
        <v>126</v>
      </c>
      <c r="I46" s="11">
        <v>137</v>
      </c>
      <c r="J46" s="11">
        <v>164</v>
      </c>
      <c r="K46" s="11">
        <v>167</v>
      </c>
      <c r="L46" s="11">
        <v>196</v>
      </c>
    </row>
    <row r="47" spans="1:12" s="1" customFormat="1" ht="17" x14ac:dyDescent="0.2">
      <c r="A47" s="57" t="s">
        <v>100</v>
      </c>
      <c r="B47" s="11">
        <v>709</v>
      </c>
      <c r="C47" s="11">
        <v>727</v>
      </c>
      <c r="D47" s="11">
        <v>764</v>
      </c>
      <c r="E47" s="11">
        <v>843</v>
      </c>
      <c r="F47" s="11">
        <v>880</v>
      </c>
      <c r="G47" s="11">
        <v>949</v>
      </c>
      <c r="H47" s="11">
        <v>1024</v>
      </c>
      <c r="I47" s="11">
        <v>1025</v>
      </c>
      <c r="J47" s="11">
        <v>1045</v>
      </c>
      <c r="K47" s="11">
        <v>1034</v>
      </c>
      <c r="L47" s="11">
        <v>1063</v>
      </c>
    </row>
    <row r="48" spans="1:12" s="1" customFormat="1" ht="17" x14ac:dyDescent="0.2">
      <c r="A48" s="57" t="s">
        <v>101</v>
      </c>
      <c r="B48" s="11">
        <v>22</v>
      </c>
      <c r="C48" s="11">
        <v>27</v>
      </c>
      <c r="D48" s="11">
        <v>35</v>
      </c>
      <c r="E48" s="11">
        <v>28</v>
      </c>
      <c r="F48" s="11">
        <v>34</v>
      </c>
      <c r="G48" s="11">
        <v>45</v>
      </c>
      <c r="H48" s="11">
        <v>64</v>
      </c>
      <c r="I48" s="11">
        <v>82</v>
      </c>
      <c r="J48" s="11">
        <v>94</v>
      </c>
      <c r="K48" s="11">
        <v>96</v>
      </c>
      <c r="L48" s="11">
        <v>95</v>
      </c>
    </row>
    <row r="49" spans="1:12" s="1" customFormat="1" ht="17" x14ac:dyDescent="0.2">
      <c r="A49" s="57" t="s">
        <v>102</v>
      </c>
      <c r="B49" s="11">
        <v>3738</v>
      </c>
      <c r="C49" s="11">
        <v>3752</v>
      </c>
      <c r="D49" s="11">
        <v>3904</v>
      </c>
      <c r="E49" s="11">
        <v>4188</v>
      </c>
      <c r="F49" s="11">
        <v>4548</v>
      </c>
      <c r="G49" s="11">
        <v>4796</v>
      </c>
      <c r="H49" s="11">
        <v>4948</v>
      </c>
      <c r="I49" s="11">
        <v>4900</v>
      </c>
      <c r="J49" s="11">
        <v>4916</v>
      </c>
      <c r="K49" s="11">
        <v>4913</v>
      </c>
      <c r="L49" s="11">
        <v>4996</v>
      </c>
    </row>
    <row r="50" spans="1:12" s="1" customFormat="1" ht="17" x14ac:dyDescent="0.2">
      <c r="A50" s="57" t="s">
        <v>103</v>
      </c>
      <c r="B50" s="11">
        <v>150</v>
      </c>
      <c r="C50" s="11">
        <v>147</v>
      </c>
      <c r="D50" s="11">
        <v>178</v>
      </c>
      <c r="E50" s="11">
        <v>185</v>
      </c>
      <c r="F50" s="11">
        <v>196</v>
      </c>
      <c r="G50" s="11">
        <v>214</v>
      </c>
      <c r="H50" s="11">
        <v>253</v>
      </c>
      <c r="I50" s="11">
        <v>278</v>
      </c>
      <c r="J50" s="11">
        <v>287</v>
      </c>
      <c r="K50" s="11">
        <v>300</v>
      </c>
      <c r="L50" s="11">
        <v>323</v>
      </c>
    </row>
    <row r="51" spans="1:12" s="1" customFormat="1" ht="17" x14ac:dyDescent="0.2">
      <c r="A51" s="57" t="s">
        <v>104</v>
      </c>
      <c r="B51" s="11">
        <v>1437</v>
      </c>
      <c r="C51" s="11">
        <v>1448</v>
      </c>
      <c r="D51" s="11">
        <v>1491</v>
      </c>
      <c r="E51" s="11">
        <v>1611</v>
      </c>
      <c r="F51" s="11">
        <v>1694</v>
      </c>
      <c r="G51" s="11">
        <v>1749</v>
      </c>
      <c r="H51" s="11">
        <v>1803</v>
      </c>
      <c r="I51" s="11">
        <v>1822</v>
      </c>
      <c r="J51" s="11">
        <v>1808</v>
      </c>
      <c r="K51" s="11">
        <v>1777</v>
      </c>
      <c r="L51" s="11">
        <v>1767</v>
      </c>
    </row>
    <row r="52" spans="1:12" s="1" customFormat="1" ht="17" x14ac:dyDescent="0.2">
      <c r="A52" s="57" t="s">
        <v>105</v>
      </c>
      <c r="B52" s="11">
        <v>603</v>
      </c>
      <c r="C52" s="11">
        <v>598</v>
      </c>
      <c r="D52" s="11">
        <v>620</v>
      </c>
      <c r="E52" s="11">
        <v>666</v>
      </c>
      <c r="F52" s="11">
        <v>729</v>
      </c>
      <c r="G52" s="11">
        <v>800</v>
      </c>
      <c r="H52" s="11">
        <v>848</v>
      </c>
      <c r="I52" s="11">
        <v>873</v>
      </c>
      <c r="J52" s="11">
        <v>864</v>
      </c>
      <c r="K52" s="11">
        <v>892</v>
      </c>
      <c r="L52" s="11">
        <v>929</v>
      </c>
    </row>
    <row r="53" spans="1:12" s="1" customFormat="1" ht="17" x14ac:dyDescent="0.2">
      <c r="A53" s="57" t="s">
        <v>106</v>
      </c>
      <c r="B53" s="11">
        <v>50</v>
      </c>
      <c r="C53" s="11">
        <v>57</v>
      </c>
      <c r="D53" s="11">
        <v>54</v>
      </c>
      <c r="E53" s="11">
        <v>54</v>
      </c>
      <c r="F53" s="11">
        <v>59</v>
      </c>
      <c r="G53" s="11">
        <v>75</v>
      </c>
      <c r="H53" s="11">
        <v>103</v>
      </c>
      <c r="I53" s="11">
        <v>125</v>
      </c>
      <c r="J53" s="11">
        <v>140</v>
      </c>
      <c r="K53" s="11">
        <v>162</v>
      </c>
      <c r="L53" s="11">
        <v>177</v>
      </c>
    </row>
    <row r="54" spans="1:12" s="1" customFormat="1" ht="17" x14ac:dyDescent="0.2">
      <c r="A54" s="57" t="s">
        <v>107</v>
      </c>
      <c r="B54" s="11">
        <v>1155</v>
      </c>
      <c r="C54" s="11">
        <v>1220</v>
      </c>
      <c r="D54" s="11">
        <v>1277</v>
      </c>
      <c r="E54" s="11">
        <v>1367</v>
      </c>
      <c r="F54" s="11">
        <v>1411</v>
      </c>
      <c r="G54" s="11">
        <v>1482</v>
      </c>
      <c r="H54" s="11">
        <v>1552</v>
      </c>
      <c r="I54" s="11">
        <v>1657</v>
      </c>
      <c r="J54" s="11">
        <v>1719</v>
      </c>
      <c r="K54" s="11">
        <v>1788</v>
      </c>
      <c r="L54" s="11">
        <v>1980</v>
      </c>
    </row>
    <row r="55" spans="1:12" s="1" customFormat="1" ht="17" x14ac:dyDescent="0.2">
      <c r="A55" s="57" t="s">
        <v>108</v>
      </c>
      <c r="B55" s="11">
        <v>272</v>
      </c>
      <c r="C55" s="11">
        <v>270</v>
      </c>
      <c r="D55" s="11">
        <v>296</v>
      </c>
      <c r="E55" s="11">
        <v>340</v>
      </c>
      <c r="F55" s="11">
        <v>404</v>
      </c>
      <c r="G55" s="11">
        <v>409</v>
      </c>
      <c r="H55" s="11">
        <v>421</v>
      </c>
      <c r="I55" s="11">
        <v>442</v>
      </c>
      <c r="J55" s="11">
        <v>465</v>
      </c>
      <c r="K55" s="11">
        <v>479</v>
      </c>
      <c r="L55" s="11">
        <v>487</v>
      </c>
    </row>
    <row r="56" spans="1:12" s="1" customFormat="1" ht="17" x14ac:dyDescent="0.2">
      <c r="A56" s="57" t="s">
        <v>109</v>
      </c>
      <c r="B56" s="11">
        <v>109</v>
      </c>
      <c r="C56" s="11">
        <v>116</v>
      </c>
      <c r="D56" s="11">
        <v>120</v>
      </c>
      <c r="E56" s="11">
        <v>159</v>
      </c>
      <c r="F56" s="11">
        <v>173</v>
      </c>
      <c r="G56" s="11">
        <v>196</v>
      </c>
      <c r="H56" s="11">
        <v>239</v>
      </c>
      <c r="I56" s="11">
        <v>273</v>
      </c>
      <c r="J56" s="11">
        <v>289</v>
      </c>
      <c r="K56" s="11">
        <v>291</v>
      </c>
      <c r="L56" s="11">
        <v>313</v>
      </c>
    </row>
    <row r="57" spans="1:12" s="1" customFormat="1" ht="17" x14ac:dyDescent="0.2">
      <c r="A57" s="57" t="s">
        <v>110</v>
      </c>
      <c r="B57" s="11">
        <v>612</v>
      </c>
      <c r="C57" s="11">
        <v>593</v>
      </c>
      <c r="D57" s="11">
        <v>630</v>
      </c>
      <c r="E57" s="11">
        <v>680</v>
      </c>
      <c r="F57" s="11">
        <v>710</v>
      </c>
      <c r="G57" s="11">
        <v>795</v>
      </c>
      <c r="H57" s="11">
        <v>835</v>
      </c>
      <c r="I57" s="11">
        <v>882</v>
      </c>
      <c r="J57" s="11">
        <v>912</v>
      </c>
      <c r="K57" s="11">
        <v>904</v>
      </c>
      <c r="L57" s="11">
        <v>940</v>
      </c>
    </row>
    <row r="58" spans="1:12" s="1" customFormat="1" ht="17" x14ac:dyDescent="0.2">
      <c r="A58" s="57" t="s">
        <v>111</v>
      </c>
      <c r="B58" s="11">
        <v>1301</v>
      </c>
      <c r="C58" s="11">
        <v>1338</v>
      </c>
      <c r="D58" s="11">
        <v>1356</v>
      </c>
      <c r="E58" s="11">
        <v>1416</v>
      </c>
      <c r="F58" s="11">
        <v>1501</v>
      </c>
      <c r="G58" s="11">
        <v>1590</v>
      </c>
      <c r="H58" s="11">
        <v>1657</v>
      </c>
      <c r="I58" s="11">
        <v>1714</v>
      </c>
      <c r="J58" s="11">
        <v>1805</v>
      </c>
      <c r="K58" s="11">
        <v>1805</v>
      </c>
      <c r="L58" s="11">
        <v>1850</v>
      </c>
    </row>
    <row r="59" spans="1:12" s="1" customFormat="1" ht="17" x14ac:dyDescent="0.2">
      <c r="A59" s="57" t="s">
        <v>112</v>
      </c>
      <c r="B59" s="15" t="s">
        <v>21</v>
      </c>
      <c r="C59" s="15" t="s">
        <v>21</v>
      </c>
      <c r="D59" s="11">
        <v>28</v>
      </c>
      <c r="E59" s="11">
        <v>42</v>
      </c>
      <c r="F59" s="11">
        <v>49</v>
      </c>
      <c r="G59" s="11">
        <v>61</v>
      </c>
      <c r="H59" s="11">
        <v>106</v>
      </c>
      <c r="I59" s="11">
        <v>138</v>
      </c>
      <c r="J59" s="11">
        <v>159</v>
      </c>
      <c r="K59" s="11">
        <v>180</v>
      </c>
      <c r="L59" s="11">
        <v>201</v>
      </c>
    </row>
    <row r="60" spans="1:12" s="1" customFormat="1" ht="17" x14ac:dyDescent="0.2">
      <c r="A60" s="57" t="s">
        <v>113</v>
      </c>
      <c r="B60" s="11">
        <v>41</v>
      </c>
      <c r="C60" s="11">
        <v>41</v>
      </c>
      <c r="D60" s="11">
        <v>40</v>
      </c>
      <c r="E60" s="11">
        <v>56</v>
      </c>
      <c r="F60" s="11">
        <v>73</v>
      </c>
      <c r="G60" s="11">
        <v>83</v>
      </c>
      <c r="H60" s="11">
        <v>109</v>
      </c>
      <c r="I60" s="11">
        <v>102</v>
      </c>
      <c r="J60" s="11">
        <v>107</v>
      </c>
      <c r="K60" s="11">
        <v>109</v>
      </c>
      <c r="L60" s="11">
        <v>121</v>
      </c>
    </row>
    <row r="61" spans="1:12" s="1" customFormat="1" ht="17" x14ac:dyDescent="0.2">
      <c r="A61" s="57" t="s">
        <v>114</v>
      </c>
      <c r="B61" s="11">
        <v>18</v>
      </c>
      <c r="C61" s="11">
        <v>26</v>
      </c>
      <c r="D61" s="11">
        <v>27</v>
      </c>
      <c r="E61" s="11">
        <v>35</v>
      </c>
      <c r="F61" s="11">
        <v>40</v>
      </c>
      <c r="G61" s="11">
        <v>48</v>
      </c>
      <c r="H61" s="11">
        <v>73</v>
      </c>
      <c r="I61" s="11">
        <v>93</v>
      </c>
      <c r="J61" s="11">
        <v>103</v>
      </c>
      <c r="K61" s="11">
        <v>96</v>
      </c>
      <c r="L61" s="11">
        <v>118</v>
      </c>
    </row>
    <row r="62" spans="1:12" s="1" customFormat="1" ht="17" x14ac:dyDescent="0.2">
      <c r="A62" s="57" t="s">
        <v>115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s="1" customFormat="1" ht="17" x14ac:dyDescent="0.2">
      <c r="A63" s="57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s="1" customFormat="1" ht="17" x14ac:dyDescent="0.2">
      <c r="A64" s="60" t="s">
        <v>83</v>
      </c>
      <c r="B64" s="11">
        <v>22137</v>
      </c>
      <c r="C64" s="11">
        <v>22562</v>
      </c>
      <c r="D64" s="11">
        <v>23479</v>
      </c>
      <c r="E64" s="11">
        <v>25260</v>
      </c>
      <c r="F64" s="11">
        <v>26920</v>
      </c>
      <c r="G64" s="11">
        <v>28819</v>
      </c>
      <c r="H64" s="11">
        <v>30299</v>
      </c>
      <c r="I64" s="11">
        <v>31266</v>
      </c>
      <c r="J64" s="11">
        <v>31938</v>
      </c>
      <c r="K64" s="11">
        <v>32068</v>
      </c>
      <c r="L64" s="11">
        <v>33332</v>
      </c>
    </row>
    <row r="65" spans="1:28" s="1" customFormat="1" ht="17" x14ac:dyDescent="0.2">
      <c r="A65" s="57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28" s="1" customFormat="1" ht="17" x14ac:dyDescent="0.2">
      <c r="A66" s="58" t="s">
        <v>116</v>
      </c>
      <c r="B66" s="11">
        <v>10117</v>
      </c>
      <c r="C66" s="11">
        <v>10246</v>
      </c>
      <c r="D66" s="11">
        <v>8523</v>
      </c>
      <c r="E66" s="11">
        <v>9214</v>
      </c>
      <c r="F66" s="11">
        <v>9861</v>
      </c>
      <c r="G66" s="11">
        <v>10284</v>
      </c>
      <c r="H66" s="11">
        <v>10689</v>
      </c>
      <c r="I66" s="11">
        <v>10853</v>
      </c>
      <c r="J66" s="11">
        <v>10987</v>
      </c>
      <c r="K66" s="11">
        <v>11075</v>
      </c>
      <c r="L66" s="11">
        <v>11328</v>
      </c>
    </row>
    <row r="67" spans="1:28" s="1" customFormat="1" ht="17" x14ac:dyDescent="0.2">
      <c r="A67" s="58" t="s">
        <v>117</v>
      </c>
      <c r="B67" s="11">
        <v>11703</v>
      </c>
      <c r="C67" s="11">
        <v>11965</v>
      </c>
      <c r="D67" s="11">
        <v>14794</v>
      </c>
      <c r="E67" s="11">
        <v>15831</v>
      </c>
      <c r="F67" s="11">
        <v>16814</v>
      </c>
      <c r="G67" s="11">
        <v>18213</v>
      </c>
      <c r="H67" s="11">
        <v>19229</v>
      </c>
      <c r="I67" s="11">
        <v>19975</v>
      </c>
      <c r="J67" s="11">
        <v>20448</v>
      </c>
      <c r="K67" s="11">
        <v>20481</v>
      </c>
      <c r="L67" s="11">
        <v>21435</v>
      </c>
    </row>
    <row r="68" spans="1:28" s="1" customFormat="1" ht="17" x14ac:dyDescent="0.2">
      <c r="A68" s="59" t="s">
        <v>118</v>
      </c>
      <c r="B68" s="13">
        <v>317</v>
      </c>
      <c r="C68" s="13">
        <v>351</v>
      </c>
      <c r="D68" s="13">
        <v>162</v>
      </c>
      <c r="E68" s="13">
        <v>215</v>
      </c>
      <c r="F68" s="13">
        <v>245</v>
      </c>
      <c r="G68" s="13">
        <v>322</v>
      </c>
      <c r="H68" s="13">
        <v>381</v>
      </c>
      <c r="I68" s="13">
        <v>438</v>
      </c>
      <c r="J68" s="13">
        <v>503</v>
      </c>
      <c r="K68" s="13">
        <v>512</v>
      </c>
      <c r="L68" s="13">
        <v>569</v>
      </c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ht="20.5" x14ac:dyDescent="0.25">
      <c r="A69" s="123" t="s">
        <v>410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69"/>
  <sheetViews>
    <sheetView zoomScale="110" zoomScaleNormal="110" workbookViewId="0">
      <selection activeCell="C23" sqref="C23"/>
    </sheetView>
  </sheetViews>
  <sheetFormatPr defaultRowHeight="12.5" x14ac:dyDescent="0.25"/>
  <cols>
    <col min="1" max="1" width="15.81640625" style="1" customWidth="1"/>
    <col min="2" max="2" width="9.1796875" style="1" customWidth="1"/>
    <col min="3" max="3" width="9.453125" style="1" customWidth="1"/>
    <col min="4" max="4" width="9.54296875" style="1" customWidth="1"/>
    <col min="5" max="5" width="9.81640625" style="1" customWidth="1"/>
    <col min="6" max="8" width="9.1796875" style="1" customWidth="1"/>
    <col min="9" max="9" width="9.453125" style="1" customWidth="1"/>
    <col min="10" max="10" width="9.54296875" style="1" customWidth="1"/>
    <col min="11" max="12" width="9.1796875" style="1" customWidth="1"/>
    <col min="13" max="15" width="7.81640625" style="25" customWidth="1"/>
    <col min="16" max="16" width="7.81640625" style="28" customWidth="1"/>
    <col min="17" max="28" width="7.81640625" customWidth="1"/>
  </cols>
  <sheetData>
    <row r="1" spans="1:28" ht="20.5" x14ac:dyDescent="0.85">
      <c r="A1" s="55" t="s">
        <v>419</v>
      </c>
    </row>
    <row r="2" spans="1:28" ht="7.5" customHeight="1" x14ac:dyDescent="0.25"/>
    <row r="3" spans="1:28" ht="23.25" customHeight="1" x14ac:dyDescent="0.25">
      <c r="A3" s="56" t="s">
        <v>90</v>
      </c>
      <c r="B3" s="30">
        <v>1998</v>
      </c>
      <c r="C3" s="30">
        <v>1999</v>
      </c>
      <c r="D3" s="30">
        <v>2000</v>
      </c>
      <c r="E3" s="30">
        <v>2001</v>
      </c>
      <c r="F3" s="30">
        <v>2002</v>
      </c>
      <c r="G3" s="30">
        <v>2003</v>
      </c>
      <c r="H3" s="30">
        <v>2004</v>
      </c>
      <c r="I3" s="30">
        <v>2005</v>
      </c>
      <c r="J3" s="30">
        <v>2006</v>
      </c>
      <c r="K3" s="30">
        <v>2007</v>
      </c>
      <c r="L3" s="30">
        <v>2008</v>
      </c>
      <c r="M3" s="30">
        <v>2009</v>
      </c>
      <c r="N3" s="30">
        <v>2010</v>
      </c>
      <c r="O3" s="30">
        <v>2011</v>
      </c>
      <c r="P3" s="30">
        <v>2012</v>
      </c>
      <c r="Q3" s="30">
        <v>2013</v>
      </c>
      <c r="R3" s="30">
        <v>2014</v>
      </c>
      <c r="S3" s="30">
        <v>2015</v>
      </c>
      <c r="T3" s="30">
        <v>2016</v>
      </c>
      <c r="U3" s="30">
        <v>2017</v>
      </c>
      <c r="V3" s="30">
        <v>2018</v>
      </c>
      <c r="W3" s="30">
        <v>2019</v>
      </c>
      <c r="X3" s="30">
        <v>2020</v>
      </c>
      <c r="Y3" s="30">
        <v>2021</v>
      </c>
      <c r="Z3" s="30">
        <v>2022</v>
      </c>
      <c r="AA3" s="30">
        <v>2023</v>
      </c>
      <c r="AB3" s="30">
        <v>2024</v>
      </c>
    </row>
    <row r="4" spans="1:28" ht="12" customHeight="1" x14ac:dyDescent="0.25">
      <c r="A4" s="63" t="s">
        <v>126</v>
      </c>
      <c r="D4" s="6"/>
      <c r="E4" s="6"/>
      <c r="F4" s="6"/>
      <c r="G4" s="6"/>
      <c r="H4" s="6"/>
      <c r="I4" s="6"/>
      <c r="J4" s="6"/>
    </row>
    <row r="5" spans="1:28" ht="17" x14ac:dyDescent="0.25">
      <c r="A5" s="57" t="s">
        <v>91</v>
      </c>
      <c r="B5" s="11">
        <v>122151</v>
      </c>
      <c r="C5" s="11">
        <v>133946</v>
      </c>
      <c r="D5" s="11">
        <v>134401</v>
      </c>
      <c r="E5" s="11">
        <v>151600</v>
      </c>
      <c r="F5" s="11">
        <v>173142</v>
      </c>
      <c r="G5" s="11">
        <v>181657</v>
      </c>
      <c r="H5" s="11">
        <v>182519</v>
      </c>
      <c r="I5" s="11">
        <v>182493</v>
      </c>
      <c r="J5" s="11">
        <v>178810</v>
      </c>
      <c r="K5" s="11">
        <v>178851</v>
      </c>
      <c r="L5" s="11">
        <v>171304</v>
      </c>
      <c r="N5" s="26"/>
      <c r="O5" s="29"/>
    </row>
    <row r="6" spans="1:28" ht="17" x14ac:dyDescent="0.25">
      <c r="A6" s="57" t="s">
        <v>92</v>
      </c>
      <c r="B6" s="11">
        <v>165116</v>
      </c>
      <c r="C6" s="11">
        <v>175911</v>
      </c>
      <c r="D6" s="11">
        <v>198311</v>
      </c>
      <c r="E6" s="11">
        <v>214838</v>
      </c>
      <c r="F6" s="11">
        <v>247854</v>
      </c>
      <c r="G6" s="11">
        <v>257943</v>
      </c>
      <c r="H6" s="11">
        <v>264086</v>
      </c>
      <c r="I6" s="11">
        <v>273441</v>
      </c>
      <c r="J6" s="11">
        <v>272582</v>
      </c>
      <c r="K6" s="11">
        <v>271202</v>
      </c>
      <c r="L6" s="11">
        <v>265077</v>
      </c>
      <c r="N6" s="26"/>
      <c r="O6" s="29"/>
    </row>
    <row r="7" spans="1:28" ht="17" x14ac:dyDescent="0.25">
      <c r="A7" s="57" t="s">
        <v>93</v>
      </c>
      <c r="B7" s="11">
        <v>322094</v>
      </c>
      <c r="C7" s="11">
        <v>324165</v>
      </c>
      <c r="D7" s="11">
        <v>339508</v>
      </c>
      <c r="E7" s="11">
        <v>357405</v>
      </c>
      <c r="F7" s="11">
        <v>423693</v>
      </c>
      <c r="G7" s="11">
        <v>435874</v>
      </c>
      <c r="H7" s="11">
        <v>437218</v>
      </c>
      <c r="I7" s="11">
        <v>433525</v>
      </c>
      <c r="J7" s="11">
        <v>425173</v>
      </c>
      <c r="K7" s="11">
        <v>425285</v>
      </c>
      <c r="L7" s="11">
        <v>408367</v>
      </c>
      <c r="N7" s="26"/>
      <c r="O7" s="29"/>
    </row>
    <row r="8" spans="1:28" ht="17" x14ac:dyDescent="0.25">
      <c r="A8" s="57" t="s">
        <v>94</v>
      </c>
      <c r="B8" s="11">
        <v>79376</v>
      </c>
      <c r="C8" s="11">
        <v>82613</v>
      </c>
      <c r="D8" s="11">
        <v>89404</v>
      </c>
      <c r="E8" s="11">
        <v>96234</v>
      </c>
      <c r="F8" s="11">
        <v>113244</v>
      </c>
      <c r="G8" s="11">
        <v>119812</v>
      </c>
      <c r="H8" s="11">
        <v>125041</v>
      </c>
      <c r="I8" s="11">
        <v>129289</v>
      </c>
      <c r="J8" s="11">
        <v>126425</v>
      </c>
      <c r="K8" s="11">
        <v>124060</v>
      </c>
      <c r="L8" s="11">
        <v>122056</v>
      </c>
      <c r="N8" s="26"/>
      <c r="O8" s="29"/>
    </row>
    <row r="9" spans="1:28" ht="17" x14ac:dyDescent="0.25">
      <c r="A9" s="57" t="s">
        <v>95</v>
      </c>
      <c r="B9" s="11">
        <v>124106</v>
      </c>
      <c r="C9" s="11">
        <v>129229</v>
      </c>
      <c r="D9" s="11">
        <v>139416</v>
      </c>
      <c r="E9" s="11">
        <v>160762</v>
      </c>
      <c r="F9" s="11">
        <v>184683</v>
      </c>
      <c r="G9" s="11">
        <v>192835</v>
      </c>
      <c r="H9" s="11">
        <v>200551</v>
      </c>
      <c r="I9" s="11">
        <v>203265</v>
      </c>
      <c r="J9" s="11">
        <v>194795</v>
      </c>
      <c r="K9" s="11">
        <v>187830</v>
      </c>
      <c r="L9" s="11">
        <v>182593</v>
      </c>
      <c r="N9" s="26"/>
      <c r="O9" s="29"/>
    </row>
    <row r="10" spans="1:28" ht="17" x14ac:dyDescent="0.25">
      <c r="A10" s="57" t="s">
        <v>96</v>
      </c>
      <c r="B10" s="11">
        <v>108801</v>
      </c>
      <c r="C10" s="11">
        <v>112415</v>
      </c>
      <c r="D10" s="11">
        <v>119354</v>
      </c>
      <c r="E10" s="11">
        <v>132499</v>
      </c>
      <c r="F10" s="11">
        <v>155440</v>
      </c>
      <c r="G10" s="11">
        <v>164535</v>
      </c>
      <c r="H10" s="11">
        <v>169862</v>
      </c>
      <c r="I10" s="11">
        <v>167355</v>
      </c>
      <c r="J10" s="11">
        <v>169205</v>
      </c>
      <c r="K10" s="11">
        <v>166143</v>
      </c>
      <c r="L10" s="11">
        <v>160168</v>
      </c>
      <c r="N10" s="26"/>
      <c r="O10" s="29"/>
    </row>
    <row r="11" spans="1:28" ht="17" x14ac:dyDescent="0.25">
      <c r="A11" s="57" t="s">
        <v>97</v>
      </c>
      <c r="B11" s="11">
        <v>122688</v>
      </c>
      <c r="C11" s="11">
        <v>125375</v>
      </c>
      <c r="D11" s="11">
        <v>134125</v>
      </c>
      <c r="E11" s="11">
        <v>147045</v>
      </c>
      <c r="F11" s="11">
        <v>162575</v>
      </c>
      <c r="G11" s="11">
        <v>167433</v>
      </c>
      <c r="H11" s="11">
        <v>169948</v>
      </c>
      <c r="I11" s="11">
        <v>167456</v>
      </c>
      <c r="J11" s="11">
        <v>163192</v>
      </c>
      <c r="K11" s="11">
        <v>159886</v>
      </c>
      <c r="L11" s="11">
        <v>155419</v>
      </c>
      <c r="N11" s="26"/>
      <c r="O11" s="29"/>
    </row>
    <row r="12" spans="1:28" ht="17" x14ac:dyDescent="0.25">
      <c r="A12" s="57" t="s">
        <v>98</v>
      </c>
      <c r="B12" s="11">
        <v>247242</v>
      </c>
      <c r="C12" s="11">
        <v>255316</v>
      </c>
      <c r="D12" s="11">
        <v>267446</v>
      </c>
      <c r="E12" s="11">
        <v>291872</v>
      </c>
      <c r="F12" s="11">
        <v>312390</v>
      </c>
      <c r="G12" s="11">
        <v>318708</v>
      </c>
      <c r="H12" s="11">
        <v>321291</v>
      </c>
      <c r="I12" s="11">
        <v>319519</v>
      </c>
      <c r="J12" s="11">
        <v>313734</v>
      </c>
      <c r="K12" s="11">
        <v>304300</v>
      </c>
      <c r="L12" s="11">
        <v>295182</v>
      </c>
      <c r="N12" s="26"/>
      <c r="O12" s="29"/>
    </row>
    <row r="13" spans="1:28" ht="17" x14ac:dyDescent="0.25">
      <c r="A13" s="57" t="s">
        <v>99</v>
      </c>
      <c r="B13" s="11">
        <v>14742</v>
      </c>
      <c r="C13" s="11">
        <v>15396</v>
      </c>
      <c r="D13" s="11">
        <v>17292</v>
      </c>
      <c r="E13" s="11">
        <v>21544</v>
      </c>
      <c r="F13" s="11">
        <v>26007</v>
      </c>
      <c r="G13" s="11">
        <v>29181</v>
      </c>
      <c r="H13" s="11">
        <v>30123</v>
      </c>
      <c r="I13" s="11">
        <v>31641</v>
      </c>
      <c r="J13" s="11">
        <v>33558</v>
      </c>
      <c r="K13" s="11">
        <v>35426</v>
      </c>
      <c r="L13" s="11">
        <v>34340</v>
      </c>
      <c r="N13" s="26"/>
      <c r="O13" s="29"/>
    </row>
    <row r="14" spans="1:28" ht="17" x14ac:dyDescent="0.25">
      <c r="A14" s="57" t="s">
        <v>100</v>
      </c>
      <c r="B14" s="11">
        <v>50955</v>
      </c>
      <c r="C14" s="11">
        <v>51767</v>
      </c>
      <c r="D14" s="11">
        <v>53412</v>
      </c>
      <c r="E14" s="11">
        <v>59635</v>
      </c>
      <c r="F14" s="11">
        <v>64540</v>
      </c>
      <c r="G14" s="11">
        <v>68574</v>
      </c>
      <c r="H14" s="11">
        <v>71233</v>
      </c>
      <c r="I14" s="11">
        <v>72586</v>
      </c>
      <c r="J14" s="11">
        <v>73283</v>
      </c>
      <c r="K14" s="11">
        <v>74433</v>
      </c>
      <c r="L14" s="11">
        <v>75433</v>
      </c>
      <c r="N14" s="26"/>
      <c r="O14" s="29"/>
    </row>
    <row r="15" spans="1:28" ht="17" x14ac:dyDescent="0.25">
      <c r="A15" s="57" t="s">
        <v>101</v>
      </c>
      <c r="B15" s="11">
        <v>3147</v>
      </c>
      <c r="C15" s="11">
        <v>3971</v>
      </c>
      <c r="D15" s="11">
        <v>4264</v>
      </c>
      <c r="E15" s="11">
        <v>4782</v>
      </c>
      <c r="F15" s="11">
        <v>6452</v>
      </c>
      <c r="G15" s="11">
        <v>7255</v>
      </c>
      <c r="H15" s="11">
        <v>8541</v>
      </c>
      <c r="I15" s="11">
        <v>9625</v>
      </c>
      <c r="J15" s="11">
        <v>10798</v>
      </c>
      <c r="K15" s="11">
        <v>12006</v>
      </c>
      <c r="L15" s="11">
        <v>12926</v>
      </c>
      <c r="N15" s="26"/>
      <c r="O15" s="29"/>
    </row>
    <row r="16" spans="1:28" ht="17" x14ac:dyDescent="0.25">
      <c r="A16" s="57" t="s">
        <v>102</v>
      </c>
      <c r="B16" s="11">
        <v>226629</v>
      </c>
      <c r="C16" s="11">
        <v>230796</v>
      </c>
      <c r="D16" s="11">
        <v>235582</v>
      </c>
      <c r="E16" s="11">
        <v>237491</v>
      </c>
      <c r="F16" s="11">
        <v>252376</v>
      </c>
      <c r="G16" s="11">
        <v>250352</v>
      </c>
      <c r="H16" s="11">
        <v>253084</v>
      </c>
      <c r="I16" s="11">
        <v>255133</v>
      </c>
      <c r="J16" s="11">
        <v>254649</v>
      </c>
      <c r="K16" s="11">
        <v>246327</v>
      </c>
      <c r="L16" s="11">
        <v>236306</v>
      </c>
      <c r="N16" s="26"/>
      <c r="O16" s="29"/>
    </row>
    <row r="17" spans="1:15" ht="17" x14ac:dyDescent="0.25">
      <c r="A17" s="57" t="s">
        <v>103</v>
      </c>
      <c r="B17" s="11">
        <v>18161</v>
      </c>
      <c r="C17" s="11">
        <v>18654</v>
      </c>
      <c r="D17" s="11">
        <v>21400</v>
      </c>
      <c r="E17" s="11">
        <v>23679</v>
      </c>
      <c r="F17" s="11">
        <v>28296</v>
      </c>
      <c r="G17" s="11">
        <v>30786</v>
      </c>
      <c r="H17" s="11">
        <v>34529</v>
      </c>
      <c r="I17" s="11">
        <v>38563</v>
      </c>
      <c r="J17" s="11">
        <v>40511</v>
      </c>
      <c r="K17" s="11">
        <v>42872</v>
      </c>
      <c r="L17" s="11">
        <v>42574</v>
      </c>
      <c r="N17" s="26"/>
      <c r="O17" s="29"/>
    </row>
    <row r="18" spans="1:15" ht="17" x14ac:dyDescent="0.25">
      <c r="A18" s="57" t="s">
        <v>104</v>
      </c>
      <c r="B18" s="11">
        <v>202658</v>
      </c>
      <c r="C18" s="11">
        <v>203745</v>
      </c>
      <c r="D18" s="11">
        <v>213235</v>
      </c>
      <c r="E18" s="11">
        <v>244433</v>
      </c>
      <c r="F18" s="11">
        <v>266533</v>
      </c>
      <c r="G18" s="11">
        <v>271120</v>
      </c>
      <c r="H18" s="11">
        <v>279444</v>
      </c>
      <c r="I18" s="11">
        <v>279667</v>
      </c>
      <c r="J18" s="11">
        <v>274773</v>
      </c>
      <c r="K18" s="11">
        <v>264693</v>
      </c>
      <c r="L18" s="11">
        <v>253220</v>
      </c>
      <c r="N18" s="26"/>
      <c r="O18" s="29"/>
    </row>
    <row r="19" spans="1:15" ht="17" x14ac:dyDescent="0.25">
      <c r="A19" s="57" t="s">
        <v>105</v>
      </c>
      <c r="B19" s="11">
        <v>69651</v>
      </c>
      <c r="C19" s="11">
        <v>72863</v>
      </c>
      <c r="D19" s="11">
        <v>79332</v>
      </c>
      <c r="E19" s="11">
        <v>86207</v>
      </c>
      <c r="F19" s="11">
        <v>101732</v>
      </c>
      <c r="G19" s="11">
        <v>105073</v>
      </c>
      <c r="H19" s="11">
        <v>106283</v>
      </c>
      <c r="I19" s="11">
        <v>106563</v>
      </c>
      <c r="J19" s="11">
        <v>103868</v>
      </c>
      <c r="K19" s="11">
        <v>102955</v>
      </c>
      <c r="L19" s="11">
        <v>97925</v>
      </c>
      <c r="N19" s="26"/>
      <c r="O19" s="29"/>
    </row>
    <row r="20" spans="1:15" ht="17" x14ac:dyDescent="0.25">
      <c r="A20" s="57" t="s">
        <v>106</v>
      </c>
      <c r="B20" s="11">
        <v>7786</v>
      </c>
      <c r="C20" s="11">
        <v>8212</v>
      </c>
      <c r="D20" s="11">
        <v>8960</v>
      </c>
      <c r="E20" s="11">
        <v>10640</v>
      </c>
      <c r="F20" s="11">
        <v>14297</v>
      </c>
      <c r="G20" s="11">
        <v>16759</v>
      </c>
      <c r="H20" s="11">
        <v>18011</v>
      </c>
      <c r="I20" s="11">
        <v>20578</v>
      </c>
      <c r="J20" s="11">
        <v>22757</v>
      </c>
      <c r="K20" s="11">
        <v>26278</v>
      </c>
      <c r="L20" s="11">
        <v>28469</v>
      </c>
      <c r="N20" s="26"/>
      <c r="O20" s="29"/>
    </row>
    <row r="21" spans="1:15" ht="17" x14ac:dyDescent="0.25">
      <c r="A21" s="57" t="s">
        <v>107</v>
      </c>
      <c r="B21" s="11">
        <v>121435</v>
      </c>
      <c r="C21" s="11">
        <v>130922</v>
      </c>
      <c r="D21" s="11">
        <v>135141</v>
      </c>
      <c r="E21" s="11">
        <v>150993</v>
      </c>
      <c r="F21" s="11">
        <v>184683</v>
      </c>
      <c r="G21" s="11">
        <v>202997</v>
      </c>
      <c r="H21" s="11">
        <v>212834</v>
      </c>
      <c r="I21" s="11">
        <v>215718</v>
      </c>
      <c r="J21" s="11">
        <v>217197</v>
      </c>
      <c r="K21" s="11">
        <v>223191</v>
      </c>
      <c r="L21" s="11">
        <v>226783</v>
      </c>
      <c r="N21" s="26"/>
      <c r="O21" s="29"/>
    </row>
    <row r="22" spans="1:15" ht="17" x14ac:dyDescent="0.25">
      <c r="A22" s="57" t="s">
        <v>108</v>
      </c>
      <c r="B22" s="11">
        <v>30786</v>
      </c>
      <c r="C22" s="11">
        <v>31966</v>
      </c>
      <c r="D22" s="11">
        <v>34109</v>
      </c>
      <c r="E22" s="11">
        <v>36063</v>
      </c>
      <c r="F22" s="11">
        <v>43245</v>
      </c>
      <c r="G22" s="11">
        <v>44089</v>
      </c>
      <c r="H22" s="11">
        <v>46164</v>
      </c>
      <c r="I22" s="11">
        <v>47738</v>
      </c>
      <c r="J22" s="11">
        <v>47118</v>
      </c>
      <c r="K22" s="11">
        <v>44933</v>
      </c>
      <c r="L22" s="11">
        <v>43037</v>
      </c>
      <c r="N22" s="26"/>
      <c r="O22" s="29"/>
    </row>
    <row r="23" spans="1:15" ht="17" x14ac:dyDescent="0.25">
      <c r="A23" s="57" t="s">
        <v>109</v>
      </c>
      <c r="B23" s="11">
        <v>12860</v>
      </c>
      <c r="C23" s="11">
        <v>13361</v>
      </c>
      <c r="D23" s="11">
        <v>14735</v>
      </c>
      <c r="E23" s="11">
        <v>17435</v>
      </c>
      <c r="F23" s="11">
        <v>19821</v>
      </c>
      <c r="G23" s="11">
        <v>21357</v>
      </c>
      <c r="H23" s="11">
        <v>22906</v>
      </c>
      <c r="I23" s="11">
        <v>23987</v>
      </c>
      <c r="J23" s="11">
        <v>24807</v>
      </c>
      <c r="K23" s="11">
        <v>25472</v>
      </c>
      <c r="L23" s="11">
        <v>25993</v>
      </c>
      <c r="N23" s="26"/>
      <c r="O23" s="29"/>
    </row>
    <row r="24" spans="1:15" ht="17" x14ac:dyDescent="0.25">
      <c r="A24" s="57" t="s">
        <v>110</v>
      </c>
      <c r="B24" s="11">
        <v>111119</v>
      </c>
      <c r="C24" s="11">
        <v>118163</v>
      </c>
      <c r="D24" s="11">
        <v>124644</v>
      </c>
      <c r="E24" s="11">
        <v>135272</v>
      </c>
      <c r="F24" s="11">
        <v>147983</v>
      </c>
      <c r="G24" s="11">
        <v>151216</v>
      </c>
      <c r="H24" s="11">
        <v>150516</v>
      </c>
      <c r="I24" s="11">
        <v>149731</v>
      </c>
      <c r="J24" s="11">
        <v>146642</v>
      </c>
      <c r="K24" s="11">
        <v>140439</v>
      </c>
      <c r="L24" s="11">
        <v>129913</v>
      </c>
      <c r="N24" s="26"/>
      <c r="O24" s="29"/>
    </row>
    <row r="25" spans="1:15" ht="17" x14ac:dyDescent="0.25">
      <c r="A25" s="57" t="s">
        <v>111</v>
      </c>
      <c r="B25" s="11">
        <v>188275</v>
      </c>
      <c r="C25" s="11">
        <v>198560</v>
      </c>
      <c r="D25" s="11">
        <v>213422</v>
      </c>
      <c r="E25" s="11">
        <v>230212</v>
      </c>
      <c r="F25" s="11">
        <v>254916</v>
      </c>
      <c r="G25" s="11">
        <v>265332</v>
      </c>
      <c r="H25" s="11">
        <v>269495</v>
      </c>
      <c r="I25" s="11">
        <v>269633</v>
      </c>
      <c r="J25" s="11">
        <v>266562</v>
      </c>
      <c r="K25" s="11">
        <v>260666</v>
      </c>
      <c r="L25" s="11">
        <v>252432</v>
      </c>
      <c r="N25" s="26"/>
      <c r="O25" s="29"/>
    </row>
    <row r="26" spans="1:15" ht="17" x14ac:dyDescent="0.25">
      <c r="A26" s="57" t="s">
        <v>112</v>
      </c>
      <c r="B26" s="15" t="s">
        <v>21</v>
      </c>
      <c r="C26" s="15" t="s">
        <v>21</v>
      </c>
      <c r="D26" s="11">
        <v>15086</v>
      </c>
      <c r="E26" s="11">
        <v>27965</v>
      </c>
      <c r="F26" s="11">
        <v>32396</v>
      </c>
      <c r="G26" s="11">
        <v>34072</v>
      </c>
      <c r="H26" s="11">
        <v>37947</v>
      </c>
      <c r="I26" s="11">
        <v>39929</v>
      </c>
      <c r="J26" s="11">
        <v>43032</v>
      </c>
      <c r="K26" s="11">
        <v>45401</v>
      </c>
      <c r="L26" s="11">
        <v>45149</v>
      </c>
      <c r="N26" s="26"/>
      <c r="O26" s="29"/>
    </row>
    <row r="27" spans="1:15" ht="17" x14ac:dyDescent="0.25">
      <c r="A27" s="57" t="s">
        <v>113</v>
      </c>
      <c r="B27" s="11">
        <v>5869</v>
      </c>
      <c r="C27" s="11">
        <v>6369</v>
      </c>
      <c r="D27" s="11">
        <v>6894</v>
      </c>
      <c r="E27" s="11">
        <v>8050</v>
      </c>
      <c r="F27" s="11">
        <v>8913</v>
      </c>
      <c r="G27" s="11">
        <v>8884</v>
      </c>
      <c r="H27" s="11">
        <v>9265</v>
      </c>
      <c r="I27" s="11">
        <v>9574</v>
      </c>
      <c r="J27" s="11">
        <v>9308</v>
      </c>
      <c r="K27" s="11">
        <v>9644</v>
      </c>
      <c r="L27" s="11">
        <v>9335</v>
      </c>
      <c r="N27" s="26"/>
      <c r="O27" s="29"/>
    </row>
    <row r="28" spans="1:15" ht="17" x14ac:dyDescent="0.25">
      <c r="A28" s="57" t="s">
        <v>114</v>
      </c>
      <c r="B28" s="11">
        <v>2434</v>
      </c>
      <c r="C28" s="11">
        <v>3520</v>
      </c>
      <c r="D28" s="11">
        <v>4353</v>
      </c>
      <c r="E28" s="11">
        <v>5915</v>
      </c>
      <c r="F28" s="11">
        <v>9028</v>
      </c>
      <c r="G28" s="11">
        <v>10179</v>
      </c>
      <c r="H28" s="11">
        <v>12157</v>
      </c>
      <c r="I28" s="11">
        <v>13403</v>
      </c>
      <c r="J28" s="11">
        <v>14615</v>
      </c>
      <c r="K28" s="11">
        <v>15017</v>
      </c>
      <c r="L28" s="11">
        <v>15285</v>
      </c>
      <c r="N28" s="26"/>
      <c r="O28" s="29"/>
    </row>
    <row r="29" spans="1:15" ht="17" x14ac:dyDescent="0.25">
      <c r="A29" s="57" t="s">
        <v>115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N29" s="26"/>
      <c r="O29" s="29"/>
    </row>
    <row r="30" spans="1:15" ht="17" x14ac:dyDescent="0.25">
      <c r="A30" s="5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5" ht="17" x14ac:dyDescent="0.25">
      <c r="A31" s="60" t="s">
        <v>83</v>
      </c>
      <c r="B31" s="11">
        <v>2358081</v>
      </c>
      <c r="C31" s="11">
        <v>2447235</v>
      </c>
      <c r="D31" s="11">
        <v>2603826</v>
      </c>
      <c r="E31" s="11">
        <v>2852571</v>
      </c>
      <c r="F31" s="11">
        <v>3234239</v>
      </c>
      <c r="G31" s="11">
        <v>3356023</v>
      </c>
      <c r="H31" s="11">
        <v>3433048</v>
      </c>
      <c r="I31" s="11">
        <v>3460412</v>
      </c>
      <c r="J31" s="11">
        <v>3427394</v>
      </c>
      <c r="K31" s="11">
        <v>3387310</v>
      </c>
      <c r="L31" s="11">
        <v>3289286</v>
      </c>
    </row>
    <row r="32" spans="1:15" ht="17" x14ac:dyDescent="0.25">
      <c r="A32" s="5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7" x14ac:dyDescent="0.25">
      <c r="A33" s="58" t="s">
        <v>116</v>
      </c>
      <c r="B33" s="11">
        <v>702620</v>
      </c>
      <c r="C33" s="11">
        <v>718415</v>
      </c>
      <c r="D33" s="11">
        <v>560612</v>
      </c>
      <c r="E33" s="11">
        <v>583777</v>
      </c>
      <c r="F33" s="11">
        <v>636844</v>
      </c>
      <c r="G33" s="11">
        <v>648826</v>
      </c>
      <c r="H33" s="11">
        <v>660129</v>
      </c>
      <c r="I33" s="11">
        <v>669159</v>
      </c>
      <c r="J33" s="11">
        <v>665590</v>
      </c>
      <c r="K33" s="11">
        <v>653607</v>
      </c>
      <c r="L33" s="11">
        <v>637341</v>
      </c>
    </row>
    <row r="34" spans="1:12" ht="17" x14ac:dyDescent="0.25">
      <c r="A34" s="58" t="s">
        <v>117</v>
      </c>
      <c r="B34" s="11">
        <v>1523020</v>
      </c>
      <c r="C34" s="11">
        <v>1576190</v>
      </c>
      <c r="D34" s="11">
        <v>2005262</v>
      </c>
      <c r="E34" s="11">
        <v>2213382</v>
      </c>
      <c r="F34" s="11">
        <v>2529384</v>
      </c>
      <c r="G34" s="11">
        <v>2629123</v>
      </c>
      <c r="H34" s="11">
        <v>2687731</v>
      </c>
      <c r="I34" s="11">
        <v>2697652</v>
      </c>
      <c r="J34" s="11">
        <v>2660586</v>
      </c>
      <c r="K34" s="11">
        <v>2628902</v>
      </c>
      <c r="L34" s="11">
        <v>2542227</v>
      </c>
    </row>
    <row r="35" spans="1:12" ht="17" x14ac:dyDescent="0.25">
      <c r="A35" s="64" t="s">
        <v>118</v>
      </c>
      <c r="B35" s="46">
        <v>132441</v>
      </c>
      <c r="C35" s="46">
        <v>152630</v>
      </c>
      <c r="D35" s="46">
        <v>37952</v>
      </c>
      <c r="E35" s="46">
        <v>55412</v>
      </c>
      <c r="F35" s="46">
        <v>68011</v>
      </c>
      <c r="G35" s="46">
        <v>78074</v>
      </c>
      <c r="H35" s="46">
        <v>85188</v>
      </c>
      <c r="I35" s="46">
        <v>93601</v>
      </c>
      <c r="J35" s="46">
        <v>101218</v>
      </c>
      <c r="K35" s="46">
        <v>104801</v>
      </c>
      <c r="L35" s="46">
        <v>109718</v>
      </c>
    </row>
    <row r="36" spans="1:12" x14ac:dyDescent="0.25">
      <c r="A36" s="12"/>
      <c r="D36" s="11"/>
      <c r="E36" s="11"/>
      <c r="F36" s="11"/>
      <c r="G36" s="11"/>
      <c r="H36" s="11"/>
      <c r="K36" s="11"/>
      <c r="L36" s="11"/>
    </row>
    <row r="37" spans="1:12" ht="17" x14ac:dyDescent="0.25">
      <c r="A37" s="60" t="s">
        <v>127</v>
      </c>
    </row>
    <row r="38" spans="1:12" ht="17" x14ac:dyDescent="0.25">
      <c r="A38" s="57" t="s">
        <v>91</v>
      </c>
      <c r="B38" s="11">
        <v>54756</v>
      </c>
      <c r="C38" s="11">
        <v>60157</v>
      </c>
      <c r="D38" s="11">
        <v>60713</v>
      </c>
      <c r="E38" s="11">
        <v>68452</v>
      </c>
      <c r="F38" s="11">
        <v>78817</v>
      </c>
      <c r="G38" s="11">
        <v>83263</v>
      </c>
      <c r="H38" s="11">
        <v>84077</v>
      </c>
      <c r="I38" s="11">
        <v>84568</v>
      </c>
      <c r="J38" s="11">
        <v>83297</v>
      </c>
      <c r="K38" s="11">
        <v>84278</v>
      </c>
      <c r="L38" s="11">
        <v>81471</v>
      </c>
    </row>
    <row r="39" spans="1:12" ht="17" x14ac:dyDescent="0.25">
      <c r="A39" s="57" t="s">
        <v>92</v>
      </c>
      <c r="B39" s="11">
        <v>75308</v>
      </c>
      <c r="C39" s="11">
        <v>80473</v>
      </c>
      <c r="D39" s="11">
        <v>91206</v>
      </c>
      <c r="E39" s="11">
        <v>99592</v>
      </c>
      <c r="F39" s="11">
        <v>114841</v>
      </c>
      <c r="G39" s="11">
        <v>119745</v>
      </c>
      <c r="H39" s="11">
        <v>122974</v>
      </c>
      <c r="I39" s="11">
        <v>128083</v>
      </c>
      <c r="J39" s="11">
        <v>128259</v>
      </c>
      <c r="K39" s="11">
        <v>128412</v>
      </c>
      <c r="L39" s="11">
        <v>126704</v>
      </c>
    </row>
    <row r="40" spans="1:12" ht="17" x14ac:dyDescent="0.25">
      <c r="A40" s="57" t="s">
        <v>93</v>
      </c>
      <c r="B40" s="11">
        <v>142744</v>
      </c>
      <c r="C40" s="11">
        <v>145879</v>
      </c>
      <c r="D40" s="11">
        <v>153864</v>
      </c>
      <c r="E40" s="11">
        <v>163083</v>
      </c>
      <c r="F40" s="11">
        <v>195077</v>
      </c>
      <c r="G40" s="11">
        <v>201909</v>
      </c>
      <c r="H40" s="11">
        <v>204578</v>
      </c>
      <c r="I40" s="11">
        <v>203965</v>
      </c>
      <c r="J40" s="11">
        <v>200181</v>
      </c>
      <c r="K40" s="11">
        <v>200025</v>
      </c>
      <c r="L40" s="11">
        <v>193432</v>
      </c>
    </row>
    <row r="41" spans="1:12" ht="17" x14ac:dyDescent="0.25">
      <c r="A41" s="57" t="s">
        <v>94</v>
      </c>
      <c r="B41" s="11">
        <v>34681</v>
      </c>
      <c r="C41" s="11">
        <v>36467</v>
      </c>
      <c r="D41" s="11">
        <v>39988</v>
      </c>
      <c r="E41" s="11">
        <v>43538</v>
      </c>
      <c r="F41" s="11">
        <v>51883</v>
      </c>
      <c r="G41" s="11">
        <v>55280</v>
      </c>
      <c r="H41" s="11">
        <v>58254</v>
      </c>
      <c r="I41" s="11">
        <v>60673</v>
      </c>
      <c r="J41" s="11">
        <v>59911</v>
      </c>
      <c r="K41" s="11">
        <v>58778</v>
      </c>
      <c r="L41" s="11">
        <v>58236</v>
      </c>
    </row>
    <row r="42" spans="1:12" ht="17" x14ac:dyDescent="0.25">
      <c r="A42" s="57" t="s">
        <v>95</v>
      </c>
      <c r="B42" s="11">
        <v>52926</v>
      </c>
      <c r="C42" s="11">
        <v>55732</v>
      </c>
      <c r="D42" s="11">
        <v>60728</v>
      </c>
      <c r="E42" s="11">
        <v>70921</v>
      </c>
      <c r="F42" s="11">
        <v>82884</v>
      </c>
      <c r="G42" s="11">
        <v>86253</v>
      </c>
      <c r="H42" s="11">
        <v>91776</v>
      </c>
      <c r="I42" s="11">
        <v>93366</v>
      </c>
      <c r="J42" s="11">
        <v>90205</v>
      </c>
      <c r="K42" s="11">
        <v>86559</v>
      </c>
      <c r="L42" s="11">
        <v>84584</v>
      </c>
    </row>
    <row r="43" spans="1:12" ht="17" x14ac:dyDescent="0.25">
      <c r="A43" s="57" t="s">
        <v>96</v>
      </c>
      <c r="B43" s="11">
        <v>50091</v>
      </c>
      <c r="C43" s="11">
        <v>51983</v>
      </c>
      <c r="D43" s="11">
        <v>55239</v>
      </c>
      <c r="E43" s="11">
        <v>61721</v>
      </c>
      <c r="F43" s="11">
        <v>72850</v>
      </c>
      <c r="G43" s="11">
        <v>77627</v>
      </c>
      <c r="H43" s="11">
        <v>80293</v>
      </c>
      <c r="I43" s="11">
        <v>80336</v>
      </c>
      <c r="J43" s="11">
        <v>81629</v>
      </c>
      <c r="K43" s="11">
        <v>80260</v>
      </c>
      <c r="L43" s="11">
        <v>78035</v>
      </c>
    </row>
    <row r="44" spans="1:12" ht="17" x14ac:dyDescent="0.25">
      <c r="A44" s="57" t="s">
        <v>97</v>
      </c>
      <c r="B44" s="11">
        <v>53728</v>
      </c>
      <c r="C44" s="11">
        <v>54720</v>
      </c>
      <c r="D44" s="11">
        <v>58806</v>
      </c>
      <c r="E44" s="11">
        <v>65013</v>
      </c>
      <c r="F44" s="11">
        <v>72309</v>
      </c>
      <c r="G44" s="11">
        <v>74740</v>
      </c>
      <c r="H44" s="11">
        <v>76335</v>
      </c>
      <c r="I44" s="11">
        <v>76004</v>
      </c>
      <c r="J44" s="11">
        <v>75208</v>
      </c>
      <c r="K44" s="11">
        <v>73964</v>
      </c>
      <c r="L44" s="11">
        <v>72204</v>
      </c>
    </row>
    <row r="45" spans="1:12" ht="17" x14ac:dyDescent="0.25">
      <c r="A45" s="57" t="s">
        <v>98</v>
      </c>
      <c r="B45" s="11">
        <v>108226</v>
      </c>
      <c r="C45" s="11">
        <v>112884</v>
      </c>
      <c r="D45" s="11">
        <v>118782</v>
      </c>
      <c r="E45" s="11">
        <v>130908</v>
      </c>
      <c r="F45" s="11">
        <v>140753</v>
      </c>
      <c r="G45" s="11">
        <v>144207</v>
      </c>
      <c r="H45" s="11">
        <v>146845</v>
      </c>
      <c r="I45" s="11">
        <v>146675</v>
      </c>
      <c r="J45" s="11">
        <v>144308</v>
      </c>
      <c r="K45" s="11">
        <v>140003</v>
      </c>
      <c r="L45" s="11">
        <v>136214</v>
      </c>
    </row>
    <row r="46" spans="1:12" ht="17" x14ac:dyDescent="0.25">
      <c r="A46" s="57" t="s">
        <v>99</v>
      </c>
      <c r="B46" s="11">
        <v>6430</v>
      </c>
      <c r="C46" s="11">
        <v>6815</v>
      </c>
      <c r="D46" s="11">
        <v>7503</v>
      </c>
      <c r="E46" s="11">
        <v>9679</v>
      </c>
      <c r="F46" s="11">
        <v>11791</v>
      </c>
      <c r="G46" s="11">
        <v>13214</v>
      </c>
      <c r="H46" s="11">
        <v>13772</v>
      </c>
      <c r="I46" s="11">
        <v>14617</v>
      </c>
      <c r="J46" s="11">
        <v>15343</v>
      </c>
      <c r="K46" s="11">
        <v>16337</v>
      </c>
      <c r="L46" s="11">
        <v>15842</v>
      </c>
    </row>
    <row r="47" spans="1:12" ht="17" x14ac:dyDescent="0.25">
      <c r="A47" s="57" t="s">
        <v>100</v>
      </c>
      <c r="B47" s="11">
        <v>23012</v>
      </c>
      <c r="C47" s="11">
        <v>23808</v>
      </c>
      <c r="D47" s="11">
        <v>24761</v>
      </c>
      <c r="E47" s="11">
        <v>27729</v>
      </c>
      <c r="F47" s="11">
        <v>30152</v>
      </c>
      <c r="G47" s="11">
        <v>32156</v>
      </c>
      <c r="H47" s="11">
        <v>33280</v>
      </c>
      <c r="I47" s="11">
        <v>33945</v>
      </c>
      <c r="J47" s="11">
        <v>34646</v>
      </c>
      <c r="K47" s="11">
        <v>35434</v>
      </c>
      <c r="L47" s="11">
        <v>35862</v>
      </c>
    </row>
    <row r="48" spans="1:12" ht="17" x14ac:dyDescent="0.25">
      <c r="A48" s="57" t="s">
        <v>101</v>
      </c>
      <c r="B48" s="11">
        <v>1336</v>
      </c>
      <c r="C48" s="11">
        <v>1659</v>
      </c>
      <c r="D48" s="11">
        <v>1877</v>
      </c>
      <c r="E48" s="11">
        <v>2045</v>
      </c>
      <c r="F48" s="11">
        <v>2737</v>
      </c>
      <c r="G48" s="11">
        <v>3129</v>
      </c>
      <c r="H48" s="11">
        <v>3633</v>
      </c>
      <c r="I48" s="11">
        <v>4288</v>
      </c>
      <c r="J48" s="11">
        <v>4810</v>
      </c>
      <c r="K48" s="11">
        <v>5368</v>
      </c>
      <c r="L48" s="11">
        <v>5833</v>
      </c>
    </row>
    <row r="49" spans="1:12" ht="17" x14ac:dyDescent="0.25">
      <c r="A49" s="57" t="s">
        <v>102</v>
      </c>
      <c r="B49" s="11">
        <v>100981</v>
      </c>
      <c r="C49" s="11">
        <v>103779</v>
      </c>
      <c r="D49" s="11">
        <v>105380</v>
      </c>
      <c r="E49" s="11">
        <v>107303</v>
      </c>
      <c r="F49" s="11">
        <v>114223</v>
      </c>
      <c r="G49" s="11">
        <v>113920</v>
      </c>
      <c r="H49" s="11">
        <v>116388</v>
      </c>
      <c r="I49" s="11">
        <v>117874</v>
      </c>
      <c r="J49" s="11">
        <v>117287</v>
      </c>
      <c r="K49" s="11">
        <v>113597</v>
      </c>
      <c r="L49" s="11">
        <v>109708</v>
      </c>
    </row>
    <row r="50" spans="1:12" ht="17" x14ac:dyDescent="0.25">
      <c r="A50" s="57" t="s">
        <v>103</v>
      </c>
      <c r="B50" s="11">
        <v>8175</v>
      </c>
      <c r="C50" s="11">
        <v>8652</v>
      </c>
      <c r="D50" s="11">
        <v>9835</v>
      </c>
      <c r="E50" s="11">
        <v>10858</v>
      </c>
      <c r="F50" s="11">
        <v>12975</v>
      </c>
      <c r="G50" s="11">
        <v>14284</v>
      </c>
      <c r="H50" s="11">
        <v>16084</v>
      </c>
      <c r="I50" s="11">
        <v>18350</v>
      </c>
      <c r="J50" s="11">
        <v>19197</v>
      </c>
      <c r="K50" s="11">
        <v>20347</v>
      </c>
      <c r="L50" s="11">
        <v>20289</v>
      </c>
    </row>
    <row r="51" spans="1:12" ht="17" x14ac:dyDescent="0.25">
      <c r="A51" s="57" t="s">
        <v>104</v>
      </c>
      <c r="B51" s="11">
        <v>85662</v>
      </c>
      <c r="C51" s="11">
        <v>87421</v>
      </c>
      <c r="D51" s="11">
        <v>91589</v>
      </c>
      <c r="E51" s="11">
        <v>106003</v>
      </c>
      <c r="F51" s="11">
        <v>116741</v>
      </c>
      <c r="G51" s="11">
        <v>120027</v>
      </c>
      <c r="H51" s="11">
        <v>125434</v>
      </c>
      <c r="I51" s="11">
        <v>126255</v>
      </c>
      <c r="J51" s="11">
        <v>125051</v>
      </c>
      <c r="K51" s="11">
        <v>120277</v>
      </c>
      <c r="L51" s="11">
        <v>115882</v>
      </c>
    </row>
    <row r="52" spans="1:12" ht="17" x14ac:dyDescent="0.25">
      <c r="A52" s="57" t="s">
        <v>105</v>
      </c>
      <c r="B52" s="11">
        <v>30159</v>
      </c>
      <c r="C52" s="11">
        <v>31692</v>
      </c>
      <c r="D52" s="11">
        <v>34549</v>
      </c>
      <c r="E52" s="11">
        <v>38341</v>
      </c>
      <c r="F52" s="11">
        <v>46248</v>
      </c>
      <c r="G52" s="11">
        <v>47738</v>
      </c>
      <c r="H52" s="11">
        <v>48930</v>
      </c>
      <c r="I52" s="11">
        <v>49570</v>
      </c>
      <c r="J52" s="11">
        <v>48770</v>
      </c>
      <c r="K52" s="11">
        <v>48555</v>
      </c>
      <c r="L52" s="11">
        <v>46688</v>
      </c>
    </row>
    <row r="53" spans="1:12" ht="17" x14ac:dyDescent="0.25">
      <c r="A53" s="57" t="s">
        <v>106</v>
      </c>
      <c r="B53" s="11">
        <v>2771</v>
      </c>
      <c r="C53" s="11">
        <v>2829</v>
      </c>
      <c r="D53" s="11">
        <v>3185</v>
      </c>
      <c r="E53" s="11">
        <v>3946</v>
      </c>
      <c r="F53" s="11">
        <v>5585</v>
      </c>
      <c r="G53" s="11">
        <v>6427</v>
      </c>
      <c r="H53" s="11">
        <v>7143</v>
      </c>
      <c r="I53" s="11">
        <v>8338</v>
      </c>
      <c r="J53" s="11">
        <v>9458</v>
      </c>
      <c r="K53" s="11">
        <v>10896</v>
      </c>
      <c r="L53" s="11">
        <v>12200</v>
      </c>
    </row>
    <row r="54" spans="1:12" ht="17" x14ac:dyDescent="0.25">
      <c r="A54" s="57" t="s">
        <v>107</v>
      </c>
      <c r="B54" s="11">
        <v>53565</v>
      </c>
      <c r="C54" s="11">
        <v>58467</v>
      </c>
      <c r="D54" s="11">
        <v>60325</v>
      </c>
      <c r="E54" s="11">
        <v>68677</v>
      </c>
      <c r="F54" s="11">
        <v>83682</v>
      </c>
      <c r="G54" s="11">
        <v>93291</v>
      </c>
      <c r="H54" s="11">
        <v>98449</v>
      </c>
      <c r="I54" s="11">
        <v>100156</v>
      </c>
      <c r="J54" s="11">
        <v>101446</v>
      </c>
      <c r="K54" s="11">
        <v>104711</v>
      </c>
      <c r="L54" s="11">
        <v>107387</v>
      </c>
    </row>
    <row r="55" spans="1:12" ht="17" x14ac:dyDescent="0.25">
      <c r="A55" s="57" t="s">
        <v>108</v>
      </c>
      <c r="B55" s="11">
        <v>13500</v>
      </c>
      <c r="C55" s="11">
        <v>14261</v>
      </c>
      <c r="D55" s="11">
        <v>15319</v>
      </c>
      <c r="E55" s="11">
        <v>16298</v>
      </c>
      <c r="F55" s="11">
        <v>19580</v>
      </c>
      <c r="G55" s="11">
        <v>20041</v>
      </c>
      <c r="H55" s="11">
        <v>21014</v>
      </c>
      <c r="I55" s="11">
        <v>21891</v>
      </c>
      <c r="J55" s="11">
        <v>21450</v>
      </c>
      <c r="K55" s="11">
        <v>20815</v>
      </c>
      <c r="L55" s="11">
        <v>20051</v>
      </c>
    </row>
    <row r="56" spans="1:12" ht="17" x14ac:dyDescent="0.25">
      <c r="A56" s="57" t="s">
        <v>109</v>
      </c>
      <c r="B56" s="11">
        <v>5696</v>
      </c>
      <c r="C56" s="11">
        <v>5902</v>
      </c>
      <c r="D56" s="11">
        <v>6617</v>
      </c>
      <c r="E56" s="11">
        <v>7868</v>
      </c>
      <c r="F56" s="11">
        <v>8977</v>
      </c>
      <c r="G56" s="11">
        <v>9719</v>
      </c>
      <c r="H56" s="11">
        <v>10565</v>
      </c>
      <c r="I56" s="11">
        <v>11198</v>
      </c>
      <c r="J56" s="11">
        <v>11765</v>
      </c>
      <c r="K56" s="11">
        <v>12114</v>
      </c>
      <c r="L56" s="11">
        <v>12452</v>
      </c>
    </row>
    <row r="57" spans="1:12" ht="17" x14ac:dyDescent="0.25">
      <c r="A57" s="57" t="s">
        <v>110</v>
      </c>
      <c r="B57" s="11">
        <v>46872</v>
      </c>
      <c r="C57" s="11">
        <v>50172</v>
      </c>
      <c r="D57" s="11">
        <v>53540</v>
      </c>
      <c r="E57" s="11">
        <v>58889</v>
      </c>
      <c r="F57" s="11">
        <v>64584</v>
      </c>
      <c r="G57" s="11">
        <v>66782</v>
      </c>
      <c r="H57" s="11">
        <v>66907</v>
      </c>
      <c r="I57" s="11">
        <v>67589</v>
      </c>
      <c r="J57" s="11">
        <v>66273</v>
      </c>
      <c r="K57" s="11">
        <v>63307</v>
      </c>
      <c r="L57" s="11">
        <v>58579</v>
      </c>
    </row>
    <row r="58" spans="1:12" ht="17" x14ac:dyDescent="0.25">
      <c r="A58" s="57" t="s">
        <v>111</v>
      </c>
      <c r="B58" s="11">
        <v>79734</v>
      </c>
      <c r="C58" s="11">
        <v>85263</v>
      </c>
      <c r="D58" s="11">
        <v>91712</v>
      </c>
      <c r="E58" s="11">
        <v>99753</v>
      </c>
      <c r="F58" s="11">
        <v>112359</v>
      </c>
      <c r="G58" s="11">
        <v>117164</v>
      </c>
      <c r="H58" s="11">
        <v>120869</v>
      </c>
      <c r="I58" s="11">
        <v>122128</v>
      </c>
      <c r="J58" s="11">
        <v>120896</v>
      </c>
      <c r="K58" s="11">
        <v>118266</v>
      </c>
      <c r="L58" s="11">
        <v>114003</v>
      </c>
    </row>
    <row r="59" spans="1:12" ht="17" x14ac:dyDescent="0.25">
      <c r="A59" s="57" t="s">
        <v>112</v>
      </c>
      <c r="D59" s="11">
        <v>6728</v>
      </c>
      <c r="E59" s="11">
        <v>12394</v>
      </c>
      <c r="F59" s="11">
        <v>14523</v>
      </c>
      <c r="G59" s="11">
        <v>15558</v>
      </c>
      <c r="H59" s="11">
        <v>17443</v>
      </c>
      <c r="I59" s="11">
        <v>18454</v>
      </c>
      <c r="J59" s="11">
        <v>20217</v>
      </c>
      <c r="K59" s="11">
        <v>21052</v>
      </c>
      <c r="L59" s="11">
        <v>21028</v>
      </c>
    </row>
    <row r="60" spans="1:12" ht="17" x14ac:dyDescent="0.25">
      <c r="A60" s="57" t="s">
        <v>113</v>
      </c>
      <c r="B60" s="11">
        <v>2498</v>
      </c>
      <c r="C60" s="11">
        <v>2783</v>
      </c>
      <c r="D60" s="11">
        <v>3087</v>
      </c>
      <c r="E60" s="11">
        <v>3670</v>
      </c>
      <c r="F60" s="11">
        <v>3965</v>
      </c>
      <c r="G60" s="11">
        <v>4025</v>
      </c>
      <c r="H60" s="11">
        <v>4332</v>
      </c>
      <c r="I60" s="11">
        <v>4470</v>
      </c>
      <c r="J60" s="11">
        <v>4419</v>
      </c>
      <c r="K60" s="11">
        <v>4580</v>
      </c>
      <c r="L60" s="11">
        <v>4505</v>
      </c>
    </row>
    <row r="61" spans="1:12" ht="17" x14ac:dyDescent="0.25">
      <c r="A61" s="57" t="s">
        <v>114</v>
      </c>
      <c r="B61" s="11">
        <v>985</v>
      </c>
      <c r="C61" s="11">
        <v>1640</v>
      </c>
      <c r="D61" s="11">
        <v>1933</v>
      </c>
      <c r="E61" s="11">
        <v>2635</v>
      </c>
      <c r="F61" s="11">
        <v>4141</v>
      </c>
      <c r="G61" s="11">
        <v>4711</v>
      </c>
      <c r="H61" s="11">
        <v>5545</v>
      </c>
      <c r="I61" s="11">
        <v>6150</v>
      </c>
      <c r="J61" s="11">
        <v>6735</v>
      </c>
      <c r="K61" s="11">
        <v>6965</v>
      </c>
      <c r="L61" s="11">
        <v>7090</v>
      </c>
    </row>
    <row r="62" spans="1:12" ht="17" x14ac:dyDescent="0.25">
      <c r="A62" s="57" t="s">
        <v>115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7" x14ac:dyDescent="0.25">
      <c r="A63" s="57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7" x14ac:dyDescent="0.25">
      <c r="A64" s="60" t="s">
        <v>83</v>
      </c>
      <c r="B64" s="11">
        <v>1033836</v>
      </c>
      <c r="C64" s="11">
        <v>1083438</v>
      </c>
      <c r="D64" s="11">
        <v>1157266</v>
      </c>
      <c r="E64" s="11">
        <v>1279316</v>
      </c>
      <c r="F64" s="11">
        <v>1461677</v>
      </c>
      <c r="G64" s="11">
        <v>1525210</v>
      </c>
      <c r="H64" s="11">
        <v>1574920</v>
      </c>
      <c r="I64" s="11">
        <v>1598943</v>
      </c>
      <c r="J64" s="11">
        <v>1590761</v>
      </c>
      <c r="K64" s="11">
        <v>1574900</v>
      </c>
      <c r="L64" s="11">
        <v>1538279</v>
      </c>
    </row>
    <row r="65" spans="1:28" ht="17" x14ac:dyDescent="0.25">
      <c r="A65" s="57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28" ht="17" x14ac:dyDescent="0.25">
      <c r="A66" s="58" t="s">
        <v>116</v>
      </c>
      <c r="B66" s="11">
        <v>307133</v>
      </c>
      <c r="C66" s="11">
        <v>316044</v>
      </c>
      <c r="D66" s="11">
        <v>248788</v>
      </c>
      <c r="E66" s="11">
        <v>261006</v>
      </c>
      <c r="F66" s="11">
        <v>286736</v>
      </c>
      <c r="G66" s="11">
        <v>292759</v>
      </c>
      <c r="H66" s="11">
        <v>300858</v>
      </c>
      <c r="I66" s="11">
        <v>306704</v>
      </c>
      <c r="J66" s="11">
        <v>306602</v>
      </c>
      <c r="K66" s="11">
        <v>301282</v>
      </c>
      <c r="L66" s="11">
        <v>295893</v>
      </c>
    </row>
    <row r="67" spans="1:28" ht="17" x14ac:dyDescent="0.25">
      <c r="A67" s="58" t="s">
        <v>117</v>
      </c>
      <c r="B67" s="11">
        <v>668048</v>
      </c>
      <c r="C67" s="11">
        <v>699177</v>
      </c>
      <c r="D67" s="11">
        <v>891478</v>
      </c>
      <c r="E67" s="11">
        <v>993393</v>
      </c>
      <c r="F67" s="11">
        <v>1144014</v>
      </c>
      <c r="G67" s="11">
        <v>1196828</v>
      </c>
      <c r="H67" s="11">
        <v>1235196</v>
      </c>
      <c r="I67" s="11">
        <v>1248945</v>
      </c>
      <c r="J67" s="11">
        <v>1237327</v>
      </c>
      <c r="K67" s="11">
        <v>1224926</v>
      </c>
      <c r="L67" s="11">
        <v>1190732</v>
      </c>
    </row>
    <row r="68" spans="1:28" ht="17" x14ac:dyDescent="0.25">
      <c r="A68" s="59" t="s">
        <v>118</v>
      </c>
      <c r="B68" s="46">
        <v>58655</v>
      </c>
      <c r="C68" s="46">
        <v>68217</v>
      </c>
      <c r="D68" s="46">
        <v>17000</v>
      </c>
      <c r="E68" s="46">
        <v>24917</v>
      </c>
      <c r="F68" s="46">
        <v>30927</v>
      </c>
      <c r="G68" s="46">
        <v>35623</v>
      </c>
      <c r="H68" s="46">
        <v>38866</v>
      </c>
      <c r="I68" s="46">
        <v>43294</v>
      </c>
      <c r="J68" s="46">
        <v>46832</v>
      </c>
      <c r="K68" s="46">
        <v>48692</v>
      </c>
      <c r="L68" s="46">
        <v>51654</v>
      </c>
      <c r="M68" s="45"/>
      <c r="N68" s="45"/>
      <c r="O68" s="45"/>
      <c r="P68" s="48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spans="1:28" ht="20.5" x14ac:dyDescent="0.25">
      <c r="A69" s="123" t="s">
        <v>410</v>
      </c>
      <c r="B69" s="11"/>
      <c r="H69" s="11"/>
      <c r="I69" s="11"/>
    </row>
  </sheetData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90"/>
  <sheetViews>
    <sheetView zoomScale="205" zoomScaleNormal="205" workbookViewId="0">
      <selection activeCell="D13" sqref="D13"/>
    </sheetView>
  </sheetViews>
  <sheetFormatPr defaultRowHeight="12.5" x14ac:dyDescent="0.25"/>
  <cols>
    <col min="1" max="1" width="10.81640625" style="1" customWidth="1"/>
    <col min="2" max="2" width="10.1796875" style="1" customWidth="1"/>
    <col min="3" max="3" width="12" style="1" customWidth="1"/>
    <col min="4" max="4" width="12.54296875" style="1" customWidth="1"/>
    <col min="5" max="5" width="11.1796875" style="1" customWidth="1"/>
    <col min="6" max="6" width="11" style="1" customWidth="1"/>
    <col min="7" max="7" width="9.81640625" style="1" bestFit="1" customWidth="1"/>
    <col min="8" max="9" width="9.1796875" style="1" customWidth="1"/>
  </cols>
  <sheetData>
    <row r="1" spans="1:7" ht="19" x14ac:dyDescent="0.8">
      <c r="A1" s="73" t="s">
        <v>131</v>
      </c>
    </row>
    <row r="2" spans="1:7" ht="7.5" customHeight="1" x14ac:dyDescent="0.25"/>
    <row r="3" spans="1:7" ht="36.75" customHeight="1" x14ac:dyDescent="0.25">
      <c r="A3" s="98" t="s">
        <v>78</v>
      </c>
      <c r="B3" s="133" t="s">
        <v>79</v>
      </c>
      <c r="C3" s="134" t="s">
        <v>80</v>
      </c>
      <c r="D3" s="134" t="s">
        <v>81</v>
      </c>
      <c r="E3" s="134" t="s">
        <v>82</v>
      </c>
      <c r="F3" s="133" t="s">
        <v>83</v>
      </c>
    </row>
    <row r="4" spans="1:7" ht="12" customHeight="1" x14ac:dyDescent="0.25">
      <c r="A4" s="132" t="s">
        <v>126</v>
      </c>
      <c r="C4" s="6"/>
      <c r="D4" s="6"/>
      <c r="E4" s="6"/>
      <c r="F4" s="6"/>
    </row>
    <row r="5" spans="1:7" x14ac:dyDescent="0.25">
      <c r="A5" s="21">
        <v>1998</v>
      </c>
      <c r="B5" s="22">
        <v>44844</v>
      </c>
      <c r="C5" s="22">
        <v>1918985</v>
      </c>
      <c r="D5" s="22">
        <v>265895</v>
      </c>
      <c r="E5" s="22">
        <v>61671</v>
      </c>
      <c r="F5" s="22">
        <v>2291395</v>
      </c>
      <c r="G5" s="4"/>
    </row>
    <row r="6" spans="1:7" x14ac:dyDescent="0.25">
      <c r="A6" s="21">
        <v>1999</v>
      </c>
      <c r="B6" s="22">
        <v>43358</v>
      </c>
      <c r="C6" s="22">
        <v>2011772</v>
      </c>
      <c r="D6" s="22">
        <v>229102</v>
      </c>
      <c r="E6" s="22">
        <v>73849</v>
      </c>
      <c r="F6" s="22">
        <v>2358081</v>
      </c>
      <c r="G6" s="4"/>
    </row>
    <row r="7" spans="1:7" x14ac:dyDescent="0.25">
      <c r="A7" s="21">
        <v>2000</v>
      </c>
      <c r="B7" s="22">
        <v>45068</v>
      </c>
      <c r="C7" s="22">
        <v>2094000</v>
      </c>
      <c r="D7" s="22">
        <v>226070</v>
      </c>
      <c r="E7" s="22">
        <v>82110</v>
      </c>
      <c r="F7" s="22">
        <v>2447248</v>
      </c>
      <c r="G7" s="4"/>
    </row>
    <row r="8" spans="1:7" x14ac:dyDescent="0.25">
      <c r="A8" s="21">
        <v>2001</v>
      </c>
      <c r="B8" s="22">
        <v>50597</v>
      </c>
      <c r="C8" s="22">
        <v>2211738</v>
      </c>
      <c r="D8" s="22">
        <v>233278</v>
      </c>
      <c r="E8" s="22">
        <v>108213</v>
      </c>
      <c r="F8" s="22">
        <v>2603826</v>
      </c>
      <c r="G8" s="4"/>
    </row>
    <row r="9" spans="1:7" x14ac:dyDescent="0.25">
      <c r="A9" s="21">
        <v>2002</v>
      </c>
      <c r="B9" s="22">
        <v>55798</v>
      </c>
      <c r="C9" s="22">
        <v>2408109</v>
      </c>
      <c r="D9" s="22">
        <v>283578</v>
      </c>
      <c r="E9" s="22">
        <v>105086</v>
      </c>
      <c r="F9" s="22">
        <v>2852571</v>
      </c>
      <c r="G9" s="4"/>
    </row>
    <row r="10" spans="1:7" x14ac:dyDescent="0.25">
      <c r="A10" s="21">
        <v>2003</v>
      </c>
      <c r="B10" s="22">
        <v>63747</v>
      </c>
      <c r="C10" s="22">
        <v>2705453</v>
      </c>
      <c r="D10" s="22">
        <v>351635</v>
      </c>
      <c r="E10" s="22">
        <v>113404</v>
      </c>
      <c r="F10" s="22">
        <v>3234239</v>
      </c>
      <c r="G10" s="4"/>
    </row>
    <row r="11" spans="1:7" x14ac:dyDescent="0.25">
      <c r="A11" s="21">
        <v>2004</v>
      </c>
      <c r="B11" s="22">
        <v>64727</v>
      </c>
      <c r="C11" s="22">
        <v>2747411</v>
      </c>
      <c r="D11" s="22">
        <v>415703</v>
      </c>
      <c r="E11" s="22">
        <v>128182</v>
      </c>
      <c r="F11" s="22">
        <v>3356023</v>
      </c>
      <c r="G11" s="4"/>
    </row>
    <row r="12" spans="1:7" x14ac:dyDescent="0.25">
      <c r="A12" s="21">
        <v>2005</v>
      </c>
      <c r="B12" s="22">
        <v>72224</v>
      </c>
      <c r="C12" s="22">
        <v>2747080</v>
      </c>
      <c r="D12" s="22">
        <v>459986</v>
      </c>
      <c r="E12" s="22">
        <v>153758</v>
      </c>
      <c r="F12" s="22">
        <v>3433048</v>
      </c>
      <c r="G12" s="4"/>
    </row>
    <row r="13" spans="1:7" x14ac:dyDescent="0.25">
      <c r="A13" s="21">
        <v>2006</v>
      </c>
      <c r="B13" s="22">
        <v>72214</v>
      </c>
      <c r="C13" s="22">
        <v>2682129</v>
      </c>
      <c r="D13" s="22">
        <v>528940</v>
      </c>
      <c r="E13" s="22">
        <v>177129</v>
      </c>
      <c r="F13" s="22">
        <v>3460412</v>
      </c>
      <c r="G13" s="4"/>
    </row>
    <row r="14" spans="1:7" x14ac:dyDescent="0.25">
      <c r="A14" s="21">
        <v>2007</v>
      </c>
      <c r="B14" s="22">
        <v>75669</v>
      </c>
      <c r="C14" s="22">
        <v>2558467</v>
      </c>
      <c r="D14" s="22">
        <v>588333</v>
      </c>
      <c r="E14" s="22">
        <v>204925</v>
      </c>
      <c r="F14" s="22">
        <v>3427394</v>
      </c>
      <c r="G14" s="4"/>
    </row>
    <row r="15" spans="1:7" x14ac:dyDescent="0.25">
      <c r="A15" s="21">
        <v>2008</v>
      </c>
      <c r="B15" s="22">
        <v>77899</v>
      </c>
      <c r="C15" s="22">
        <v>2461135</v>
      </c>
      <c r="D15" s="22">
        <v>626005</v>
      </c>
      <c r="E15" s="22">
        <v>222271</v>
      </c>
      <c r="F15" s="22">
        <v>3387310</v>
      </c>
      <c r="G15" s="4"/>
    </row>
    <row r="16" spans="1:7" x14ac:dyDescent="0.25">
      <c r="A16" s="21">
        <v>2009</v>
      </c>
      <c r="B16" s="22"/>
      <c r="C16" s="22"/>
      <c r="D16" s="22"/>
      <c r="E16" s="22"/>
      <c r="F16" s="22"/>
      <c r="G16" s="4"/>
    </row>
    <row r="17" spans="1:7" x14ac:dyDescent="0.25">
      <c r="A17" s="21">
        <v>2010</v>
      </c>
      <c r="B17" s="22"/>
      <c r="C17" s="22"/>
      <c r="D17" s="22"/>
      <c r="E17" s="22"/>
      <c r="F17" s="22"/>
      <c r="G17" s="4"/>
    </row>
    <row r="18" spans="1:7" x14ac:dyDescent="0.25">
      <c r="A18" s="21">
        <v>2011</v>
      </c>
      <c r="B18" s="22"/>
      <c r="C18" s="22"/>
      <c r="D18" s="22"/>
      <c r="E18" s="22"/>
      <c r="F18" s="22"/>
      <c r="G18" s="4"/>
    </row>
    <row r="19" spans="1:7" x14ac:dyDescent="0.25">
      <c r="A19" s="21">
        <v>2012</v>
      </c>
      <c r="B19" s="22"/>
      <c r="C19" s="22"/>
      <c r="D19" s="22"/>
      <c r="E19" s="22"/>
      <c r="F19" s="22"/>
      <c r="G19" s="4"/>
    </row>
    <row r="20" spans="1:7" x14ac:dyDescent="0.25">
      <c r="A20" s="21">
        <v>2013</v>
      </c>
      <c r="B20" s="22"/>
      <c r="C20" s="22"/>
      <c r="D20" s="22"/>
      <c r="E20" s="22"/>
      <c r="F20" s="22"/>
      <c r="G20" s="4"/>
    </row>
    <row r="21" spans="1:7" x14ac:dyDescent="0.25">
      <c r="A21" s="21">
        <v>2014</v>
      </c>
      <c r="B21" s="22"/>
      <c r="C21" s="22"/>
      <c r="D21" s="22"/>
      <c r="E21" s="22"/>
      <c r="F21" s="22"/>
      <c r="G21" s="4"/>
    </row>
    <row r="22" spans="1:7" x14ac:dyDescent="0.25">
      <c r="A22" s="21">
        <v>2015</v>
      </c>
      <c r="B22" s="22"/>
      <c r="C22" s="22"/>
      <c r="D22" s="22"/>
      <c r="E22" s="22"/>
      <c r="F22" s="22"/>
      <c r="G22" s="4"/>
    </row>
    <row r="23" spans="1:7" x14ac:dyDescent="0.25">
      <c r="A23" s="21">
        <v>2016</v>
      </c>
      <c r="B23" s="22"/>
      <c r="C23" s="22"/>
      <c r="D23" s="22"/>
      <c r="E23" s="22"/>
      <c r="F23" s="22"/>
      <c r="G23" s="4"/>
    </row>
    <row r="24" spans="1:7" x14ac:dyDescent="0.25">
      <c r="A24" s="21">
        <v>2017</v>
      </c>
      <c r="B24" s="22"/>
      <c r="C24" s="22"/>
      <c r="D24" s="22"/>
      <c r="E24" s="22"/>
      <c r="F24" s="22"/>
      <c r="G24" s="4"/>
    </row>
    <row r="25" spans="1:7" x14ac:dyDescent="0.25">
      <c r="A25" s="21">
        <v>2018</v>
      </c>
      <c r="B25" s="22"/>
      <c r="C25" s="22"/>
      <c r="D25" s="22"/>
      <c r="E25" s="22"/>
      <c r="F25" s="22"/>
      <c r="G25" s="4"/>
    </row>
    <row r="26" spans="1:7" x14ac:dyDescent="0.25">
      <c r="A26" s="21">
        <v>2019</v>
      </c>
      <c r="B26" s="22"/>
      <c r="C26" s="22"/>
      <c r="D26" s="22"/>
      <c r="E26" s="22"/>
      <c r="F26" s="22"/>
      <c r="G26" s="4"/>
    </row>
    <row r="27" spans="1:7" x14ac:dyDescent="0.25">
      <c r="A27" s="21">
        <v>2020</v>
      </c>
      <c r="B27" s="22"/>
      <c r="C27" s="22"/>
      <c r="D27" s="22"/>
      <c r="E27" s="22"/>
      <c r="F27" s="22"/>
      <c r="G27" s="4"/>
    </row>
    <row r="28" spans="1:7" x14ac:dyDescent="0.25">
      <c r="A28" s="21">
        <v>2021</v>
      </c>
      <c r="B28" s="22"/>
      <c r="C28" s="22"/>
      <c r="D28" s="22"/>
      <c r="E28" s="22"/>
      <c r="F28" s="22"/>
      <c r="G28" s="4"/>
    </row>
    <row r="29" spans="1:7" x14ac:dyDescent="0.25">
      <c r="A29" s="21">
        <v>2022</v>
      </c>
      <c r="B29" s="22"/>
      <c r="C29" s="22"/>
      <c r="D29" s="22"/>
      <c r="E29" s="22"/>
      <c r="F29" s="22"/>
      <c r="G29" s="4"/>
    </row>
    <row r="30" spans="1:7" x14ac:dyDescent="0.25">
      <c r="A30" s="21">
        <v>2023</v>
      </c>
      <c r="B30" s="22"/>
      <c r="C30" s="22"/>
      <c r="D30" s="22"/>
      <c r="E30" s="22"/>
      <c r="F30" s="22"/>
      <c r="G30" s="4"/>
    </row>
    <row r="31" spans="1:7" x14ac:dyDescent="0.25">
      <c r="A31" s="49">
        <v>2024</v>
      </c>
      <c r="B31" s="50"/>
      <c r="C31" s="50"/>
      <c r="D31" s="50"/>
      <c r="E31" s="50"/>
      <c r="F31" s="50"/>
      <c r="G31" s="4"/>
    </row>
    <row r="32" spans="1:7" x14ac:dyDescent="0.25">
      <c r="A32" s="10"/>
      <c r="B32" s="11"/>
      <c r="C32" s="11"/>
      <c r="D32" s="11"/>
      <c r="E32" s="11"/>
      <c r="F32" s="11"/>
    </row>
    <row r="33" spans="1:6" ht="17" x14ac:dyDescent="0.25">
      <c r="A33" s="132" t="s">
        <v>129</v>
      </c>
      <c r="B33" s="15"/>
      <c r="C33" s="11"/>
      <c r="D33" s="11"/>
      <c r="E33" s="11"/>
      <c r="F33" s="11"/>
    </row>
    <row r="34" spans="1:6" x14ac:dyDescent="0.25">
      <c r="A34" s="21">
        <v>1998</v>
      </c>
      <c r="B34" s="22">
        <v>22518</v>
      </c>
      <c r="C34" s="22">
        <v>1058285</v>
      </c>
      <c r="D34" s="22">
        <v>167418</v>
      </c>
      <c r="E34" s="22">
        <v>40066</v>
      </c>
      <c r="F34" s="22">
        <v>1288287</v>
      </c>
    </row>
    <row r="35" spans="1:6" x14ac:dyDescent="0.25">
      <c r="A35" s="21">
        <v>1999</v>
      </c>
      <c r="B35" s="22">
        <v>21789</v>
      </c>
      <c r="C35" s="22">
        <v>1104945</v>
      </c>
      <c r="D35" s="22">
        <v>149270</v>
      </c>
      <c r="E35" s="22">
        <v>48241</v>
      </c>
      <c r="F35" s="22">
        <v>1324245</v>
      </c>
    </row>
    <row r="36" spans="1:6" x14ac:dyDescent="0.25">
      <c r="A36" s="21">
        <v>2000</v>
      </c>
      <c r="B36" s="22">
        <v>22882</v>
      </c>
      <c r="C36" s="22">
        <v>1137913</v>
      </c>
      <c r="D36" s="22">
        <v>148350</v>
      </c>
      <c r="E36" s="22">
        <v>54656</v>
      </c>
      <c r="F36" s="22">
        <v>1363801</v>
      </c>
    </row>
    <row r="37" spans="1:6" x14ac:dyDescent="0.25">
      <c r="A37" s="21">
        <v>2001</v>
      </c>
      <c r="B37" s="22">
        <v>25397</v>
      </c>
      <c r="C37" s="22">
        <v>1198604</v>
      </c>
      <c r="D37" s="22">
        <v>150792</v>
      </c>
      <c r="E37" s="22">
        <v>71767</v>
      </c>
      <c r="F37" s="22">
        <v>1446560</v>
      </c>
    </row>
    <row r="38" spans="1:6" x14ac:dyDescent="0.25">
      <c r="A38" s="21">
        <v>2002</v>
      </c>
      <c r="B38" s="22">
        <v>28134</v>
      </c>
      <c r="C38" s="22">
        <v>1294738</v>
      </c>
      <c r="D38" s="22">
        <v>178762</v>
      </c>
      <c r="E38" s="22">
        <v>71621</v>
      </c>
      <c r="F38" s="22">
        <v>1573255</v>
      </c>
    </row>
    <row r="39" spans="1:6" x14ac:dyDescent="0.25">
      <c r="A39" s="21">
        <v>2003</v>
      </c>
      <c r="B39" s="22">
        <v>32107</v>
      </c>
      <c r="C39" s="22">
        <v>1447764</v>
      </c>
      <c r="D39" s="22">
        <v>215698</v>
      </c>
      <c r="E39" s="22">
        <v>76993</v>
      </c>
      <c r="F39" s="22">
        <v>1772562</v>
      </c>
    </row>
    <row r="40" spans="1:6" x14ac:dyDescent="0.25">
      <c r="A40" s="21">
        <v>2004</v>
      </c>
      <c r="B40" s="22">
        <v>32742</v>
      </c>
      <c r="C40" s="22">
        <v>1463551</v>
      </c>
      <c r="D40" s="22">
        <v>249133</v>
      </c>
      <c r="E40" s="22">
        <v>85387</v>
      </c>
      <c r="F40" s="22">
        <v>1830813</v>
      </c>
    </row>
    <row r="41" spans="1:6" x14ac:dyDescent="0.25">
      <c r="A41" s="21">
        <v>2005</v>
      </c>
      <c r="B41" s="22">
        <v>36295</v>
      </c>
      <c r="C41" s="22">
        <v>1455827</v>
      </c>
      <c r="D41" s="22">
        <v>267256</v>
      </c>
      <c r="E41" s="22">
        <v>98750</v>
      </c>
      <c r="F41" s="22">
        <v>1858128</v>
      </c>
    </row>
    <row r="42" spans="1:6" x14ac:dyDescent="0.25">
      <c r="A42" s="21">
        <v>2006</v>
      </c>
      <c r="B42" s="22">
        <v>36063</v>
      </c>
      <c r="C42" s="22">
        <v>1415709</v>
      </c>
      <c r="D42" s="22">
        <v>298892</v>
      </c>
      <c r="E42" s="22">
        <v>110805</v>
      </c>
      <c r="F42" s="22">
        <v>1861469</v>
      </c>
    </row>
    <row r="43" spans="1:6" x14ac:dyDescent="0.25">
      <c r="A43" s="21">
        <v>2007</v>
      </c>
      <c r="B43" s="22">
        <v>37882</v>
      </c>
      <c r="C43" s="22">
        <v>1349185</v>
      </c>
      <c r="D43" s="22">
        <v>324204</v>
      </c>
      <c r="E43" s="22">
        <v>125362</v>
      </c>
      <c r="F43" s="22">
        <v>1836633</v>
      </c>
    </row>
    <row r="44" spans="1:6" x14ac:dyDescent="0.25">
      <c r="A44" s="21">
        <v>2008</v>
      </c>
      <c r="B44" s="22">
        <v>39103</v>
      </c>
      <c r="C44" s="22">
        <v>1299431</v>
      </c>
      <c r="D44" s="22">
        <v>340306</v>
      </c>
      <c r="E44" s="22">
        <v>133570</v>
      </c>
      <c r="F44" s="22">
        <v>1812410</v>
      </c>
    </row>
    <row r="45" spans="1:6" x14ac:dyDescent="0.25">
      <c r="A45" s="21">
        <v>2009</v>
      </c>
      <c r="B45" s="22"/>
      <c r="C45" s="22"/>
      <c r="D45" s="22"/>
      <c r="E45" s="22"/>
      <c r="F45" s="22"/>
    </row>
    <row r="46" spans="1:6" x14ac:dyDescent="0.25">
      <c r="A46" s="21">
        <v>2010</v>
      </c>
      <c r="B46" s="22"/>
      <c r="C46" s="22"/>
      <c r="D46" s="22"/>
      <c r="E46" s="22"/>
      <c r="F46" s="22"/>
    </row>
    <row r="47" spans="1:6" x14ac:dyDescent="0.25">
      <c r="A47" s="21">
        <v>2011</v>
      </c>
      <c r="B47" s="22"/>
      <c r="C47" s="22"/>
      <c r="D47" s="22"/>
      <c r="E47" s="22"/>
      <c r="F47" s="22"/>
    </row>
    <row r="48" spans="1:6" x14ac:dyDescent="0.25">
      <c r="A48" s="21">
        <v>2012</v>
      </c>
      <c r="B48" s="22"/>
      <c r="C48" s="22"/>
      <c r="D48" s="22"/>
      <c r="E48" s="22"/>
      <c r="F48" s="22"/>
    </row>
    <row r="49" spans="1:6" x14ac:dyDescent="0.25">
      <c r="A49" s="21">
        <v>2013</v>
      </c>
      <c r="B49" s="22"/>
      <c r="C49" s="22"/>
      <c r="D49" s="22"/>
      <c r="E49" s="22"/>
      <c r="F49" s="22"/>
    </row>
    <row r="50" spans="1:6" x14ac:dyDescent="0.25">
      <c r="A50" s="21">
        <v>2014</v>
      </c>
      <c r="B50" s="22"/>
      <c r="C50" s="22"/>
      <c r="D50" s="22"/>
      <c r="E50" s="22"/>
      <c r="F50" s="22"/>
    </row>
    <row r="51" spans="1:6" x14ac:dyDescent="0.25">
      <c r="A51" s="21">
        <v>2015</v>
      </c>
      <c r="B51" s="22"/>
      <c r="C51" s="22"/>
      <c r="D51" s="22"/>
      <c r="E51" s="22"/>
      <c r="F51" s="22"/>
    </row>
    <row r="52" spans="1:6" x14ac:dyDescent="0.25">
      <c r="A52" s="21">
        <v>2016</v>
      </c>
      <c r="B52" s="22"/>
      <c r="C52" s="22"/>
      <c r="D52" s="22"/>
      <c r="E52" s="22"/>
      <c r="F52" s="22"/>
    </row>
    <row r="53" spans="1:6" x14ac:dyDescent="0.25">
      <c r="A53" s="21">
        <v>2017</v>
      </c>
      <c r="B53" s="22"/>
      <c r="C53" s="22"/>
      <c r="D53" s="22"/>
      <c r="E53" s="22"/>
      <c r="F53" s="22"/>
    </row>
    <row r="54" spans="1:6" x14ac:dyDescent="0.25">
      <c r="A54" s="21">
        <v>2018</v>
      </c>
      <c r="B54" s="22"/>
      <c r="C54" s="22"/>
      <c r="D54" s="22"/>
      <c r="E54" s="22"/>
      <c r="F54" s="22"/>
    </row>
    <row r="55" spans="1:6" x14ac:dyDescent="0.25">
      <c r="A55" s="21">
        <v>2019</v>
      </c>
      <c r="B55" s="22"/>
      <c r="C55" s="22"/>
      <c r="D55" s="22"/>
      <c r="E55" s="22"/>
      <c r="F55" s="22"/>
    </row>
    <row r="56" spans="1:6" x14ac:dyDescent="0.25">
      <c r="A56" s="21">
        <v>2020</v>
      </c>
      <c r="B56" s="22"/>
      <c r="C56" s="22"/>
      <c r="D56" s="22"/>
      <c r="E56" s="22"/>
      <c r="F56" s="22"/>
    </row>
    <row r="57" spans="1:6" x14ac:dyDescent="0.25">
      <c r="A57" s="21">
        <v>2021</v>
      </c>
      <c r="B57" s="22"/>
      <c r="C57" s="22"/>
      <c r="D57" s="22"/>
      <c r="E57" s="22"/>
      <c r="F57" s="22"/>
    </row>
    <row r="58" spans="1:6" x14ac:dyDescent="0.25">
      <c r="A58" s="21">
        <v>2022</v>
      </c>
      <c r="B58" s="22"/>
      <c r="C58" s="22"/>
      <c r="D58" s="22"/>
      <c r="E58" s="22"/>
      <c r="F58" s="22"/>
    </row>
    <row r="59" spans="1:6" x14ac:dyDescent="0.25">
      <c r="A59" s="21">
        <v>2023</v>
      </c>
      <c r="B59" s="22"/>
      <c r="C59" s="22"/>
      <c r="D59" s="22"/>
      <c r="E59" s="22"/>
      <c r="F59" s="22"/>
    </row>
    <row r="60" spans="1:6" x14ac:dyDescent="0.25">
      <c r="A60" s="49">
        <v>2024</v>
      </c>
      <c r="B60" s="50"/>
      <c r="C60" s="50"/>
      <c r="D60" s="50"/>
      <c r="E60" s="50"/>
      <c r="F60" s="50"/>
    </row>
    <row r="61" spans="1:6" x14ac:dyDescent="0.25">
      <c r="A61" s="21"/>
      <c r="B61" s="22"/>
      <c r="C61" s="22"/>
      <c r="D61" s="22"/>
      <c r="E61" s="22"/>
      <c r="F61" s="22"/>
    </row>
    <row r="62" spans="1:6" ht="17" x14ac:dyDescent="0.25">
      <c r="A62" s="132" t="s">
        <v>127</v>
      </c>
      <c r="B62" s="11"/>
      <c r="C62" s="11"/>
      <c r="D62" s="11"/>
      <c r="E62" s="11"/>
      <c r="F62" s="11"/>
    </row>
    <row r="63" spans="1:6" x14ac:dyDescent="0.25">
      <c r="A63" s="21">
        <v>1998</v>
      </c>
      <c r="B63" s="22">
        <v>22326</v>
      </c>
      <c r="C63" s="22">
        <v>860700</v>
      </c>
      <c r="D63" s="22">
        <v>98477</v>
      </c>
      <c r="E63" s="22">
        <v>21605</v>
      </c>
      <c r="F63" s="22">
        <v>1003108</v>
      </c>
    </row>
    <row r="64" spans="1:6" x14ac:dyDescent="0.25">
      <c r="A64" s="21">
        <v>1999</v>
      </c>
      <c r="B64" s="22">
        <v>21569</v>
      </c>
      <c r="C64" s="22">
        <v>906827</v>
      </c>
      <c r="D64" s="22">
        <v>79832</v>
      </c>
      <c r="E64" s="22">
        <v>25608</v>
      </c>
      <c r="F64" s="22">
        <v>1033836</v>
      </c>
    </row>
    <row r="65" spans="1:6" x14ac:dyDescent="0.25">
      <c r="A65" s="21">
        <v>2000</v>
      </c>
      <c r="B65" s="22">
        <v>22186</v>
      </c>
      <c r="C65" s="22">
        <v>956087</v>
      </c>
      <c r="D65" s="22">
        <v>77720</v>
      </c>
      <c r="E65" s="22">
        <v>27454</v>
      </c>
      <c r="F65" s="22">
        <v>1083447</v>
      </c>
    </row>
    <row r="66" spans="1:6" x14ac:dyDescent="0.25">
      <c r="A66" s="21">
        <v>2001</v>
      </c>
      <c r="B66" s="22">
        <v>25200</v>
      </c>
      <c r="C66" s="22">
        <v>1013134</v>
      </c>
      <c r="D66" s="22">
        <v>82486</v>
      </c>
      <c r="E66" s="22">
        <v>36446</v>
      </c>
      <c r="F66" s="22">
        <v>1157266</v>
      </c>
    </row>
    <row r="67" spans="1:6" x14ac:dyDescent="0.25">
      <c r="A67" s="21">
        <v>2002</v>
      </c>
      <c r="B67" s="22">
        <v>27664</v>
      </c>
      <c r="C67" s="22">
        <v>1113371</v>
      </c>
      <c r="D67" s="22">
        <v>104816</v>
      </c>
      <c r="E67" s="22">
        <v>33465</v>
      </c>
      <c r="F67" s="22">
        <v>1279316</v>
      </c>
    </row>
    <row r="68" spans="1:6" x14ac:dyDescent="0.25">
      <c r="A68" s="21">
        <v>2003</v>
      </c>
      <c r="B68" s="22">
        <v>31640</v>
      </c>
      <c r="C68" s="22">
        <v>1257689</v>
      </c>
      <c r="D68" s="22">
        <v>135937</v>
      </c>
      <c r="E68" s="22">
        <v>36411</v>
      </c>
      <c r="F68" s="22">
        <v>1461677</v>
      </c>
    </row>
    <row r="69" spans="1:6" x14ac:dyDescent="0.25">
      <c r="A69" s="21">
        <v>2004</v>
      </c>
      <c r="B69" s="22">
        <v>31985</v>
      </c>
      <c r="C69" s="22">
        <v>1283860</v>
      </c>
      <c r="D69" s="22">
        <v>166570</v>
      </c>
      <c r="E69" s="22">
        <v>42795</v>
      </c>
      <c r="F69" s="22">
        <v>1525210</v>
      </c>
    </row>
    <row r="70" spans="1:6" x14ac:dyDescent="0.25">
      <c r="A70" s="21">
        <v>2005</v>
      </c>
      <c r="B70" s="22">
        <v>35929</v>
      </c>
      <c r="C70" s="22">
        <v>1291253</v>
      </c>
      <c r="D70" s="22">
        <v>192730</v>
      </c>
      <c r="E70" s="22">
        <v>55008</v>
      </c>
      <c r="F70" s="22">
        <v>1574920</v>
      </c>
    </row>
    <row r="71" spans="1:6" x14ac:dyDescent="0.25">
      <c r="A71" s="21">
        <v>2006</v>
      </c>
      <c r="B71" s="22">
        <v>36151</v>
      </c>
      <c r="C71" s="22">
        <v>1266420</v>
      </c>
      <c r="D71" s="22">
        <v>230048</v>
      </c>
      <c r="E71" s="22">
        <v>66324</v>
      </c>
      <c r="F71" s="22">
        <v>1598943</v>
      </c>
    </row>
    <row r="72" spans="1:6" x14ac:dyDescent="0.25">
      <c r="A72" s="21">
        <v>2007</v>
      </c>
      <c r="B72" s="22">
        <v>37787</v>
      </c>
      <c r="C72" s="22">
        <v>1209282</v>
      </c>
      <c r="D72" s="22">
        <v>264129</v>
      </c>
      <c r="E72" s="22">
        <v>79563</v>
      </c>
      <c r="F72" s="22">
        <v>1590761</v>
      </c>
    </row>
    <row r="73" spans="1:6" x14ac:dyDescent="0.25">
      <c r="A73" s="21">
        <v>2008</v>
      </c>
      <c r="B73" s="22">
        <v>38796</v>
      </c>
      <c r="C73" s="22">
        <v>1161704</v>
      </c>
      <c r="D73" s="22">
        <v>285699</v>
      </c>
      <c r="E73" s="22">
        <v>88701</v>
      </c>
      <c r="F73" s="22">
        <v>1574900</v>
      </c>
    </row>
    <row r="74" spans="1:6" x14ac:dyDescent="0.25">
      <c r="A74" s="21">
        <v>2009</v>
      </c>
    </row>
    <row r="75" spans="1:6" x14ac:dyDescent="0.25">
      <c r="A75" s="21">
        <v>2010</v>
      </c>
    </row>
    <row r="76" spans="1:6" x14ac:dyDescent="0.25">
      <c r="A76" s="21">
        <v>2011</v>
      </c>
    </row>
    <row r="77" spans="1:6" x14ac:dyDescent="0.25">
      <c r="A77" s="21">
        <v>2012</v>
      </c>
    </row>
    <row r="78" spans="1:6" x14ac:dyDescent="0.25">
      <c r="A78" s="21">
        <v>2013</v>
      </c>
    </row>
    <row r="79" spans="1:6" x14ac:dyDescent="0.25">
      <c r="A79" s="21">
        <v>2014</v>
      </c>
    </row>
    <row r="80" spans="1:6" x14ac:dyDescent="0.25">
      <c r="A80" s="21">
        <v>2015</v>
      </c>
    </row>
    <row r="81" spans="1:6" x14ac:dyDescent="0.25">
      <c r="A81" s="21">
        <v>2016</v>
      </c>
    </row>
    <row r="82" spans="1:6" x14ac:dyDescent="0.25">
      <c r="A82" s="21">
        <v>2017</v>
      </c>
    </row>
    <row r="83" spans="1:6" x14ac:dyDescent="0.25">
      <c r="A83" s="21">
        <v>2018</v>
      </c>
    </row>
    <row r="84" spans="1:6" x14ac:dyDescent="0.25">
      <c r="A84" s="21">
        <v>2019</v>
      </c>
    </row>
    <row r="85" spans="1:6" x14ac:dyDescent="0.25">
      <c r="A85" s="21">
        <v>2020</v>
      </c>
    </row>
    <row r="86" spans="1:6" x14ac:dyDescent="0.25">
      <c r="A86" s="21">
        <v>2021</v>
      </c>
    </row>
    <row r="87" spans="1:6" x14ac:dyDescent="0.25">
      <c r="A87" s="21">
        <v>2022</v>
      </c>
    </row>
    <row r="88" spans="1:6" x14ac:dyDescent="0.25">
      <c r="A88" s="21">
        <v>2023</v>
      </c>
    </row>
    <row r="89" spans="1:6" x14ac:dyDescent="0.25">
      <c r="A89" s="49">
        <v>2024</v>
      </c>
      <c r="B89" s="34"/>
      <c r="C89" s="34"/>
      <c r="D89" s="34"/>
      <c r="E89" s="34"/>
      <c r="F89" s="34"/>
    </row>
    <row r="90" spans="1:6" x14ac:dyDescent="0.25">
      <c r="A90" s="124" t="s">
        <v>410</v>
      </c>
    </row>
  </sheetData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V92"/>
  <sheetViews>
    <sheetView zoomScale="130" zoomScaleNormal="130" workbookViewId="0">
      <selection activeCell="T12" sqref="T12"/>
    </sheetView>
  </sheetViews>
  <sheetFormatPr defaultRowHeight="12.5" x14ac:dyDescent="0.25"/>
  <cols>
    <col min="1" max="5" width="10.1796875" style="1" customWidth="1"/>
    <col min="6" max="17" width="9.1796875" style="1" customWidth="1"/>
  </cols>
  <sheetData>
    <row r="1" spans="1:256" ht="20.5" x14ac:dyDescent="0.85">
      <c r="A1" s="55" t="s">
        <v>130</v>
      </c>
      <c r="B1" s="55"/>
      <c r="C1" s="55"/>
      <c r="D1" s="55"/>
      <c r="E1" s="5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3" spans="1:256" ht="20.25" customHeight="1" x14ac:dyDescent="0.25">
      <c r="A3" s="246" t="s">
        <v>78</v>
      </c>
      <c r="B3" s="253" t="s">
        <v>424</v>
      </c>
      <c r="C3" s="253"/>
      <c r="D3" s="253"/>
      <c r="E3" s="253"/>
      <c r="F3" s="248" t="s">
        <v>132</v>
      </c>
      <c r="G3" s="248"/>
      <c r="H3" s="248"/>
      <c r="I3" s="248"/>
      <c r="J3" s="248"/>
      <c r="K3" s="249"/>
      <c r="L3" s="250" t="s">
        <v>415</v>
      </c>
      <c r="M3" s="251"/>
      <c r="N3" s="252"/>
      <c r="O3" s="250" t="s">
        <v>416</v>
      </c>
      <c r="P3" s="251"/>
      <c r="Q3" s="252"/>
    </row>
    <row r="4" spans="1:256" ht="33.5" customHeight="1" x14ac:dyDescent="0.25">
      <c r="A4" s="247"/>
      <c r="B4" s="136" t="s">
        <v>421</v>
      </c>
      <c r="C4" s="136" t="s">
        <v>420</v>
      </c>
      <c r="D4" s="136" t="s">
        <v>422</v>
      </c>
      <c r="E4" s="136" t="s">
        <v>423</v>
      </c>
      <c r="F4" s="135" t="s">
        <v>133</v>
      </c>
      <c r="G4" s="65" t="s">
        <v>134</v>
      </c>
      <c r="H4" s="65" t="s">
        <v>135</v>
      </c>
      <c r="I4" s="65" t="s">
        <v>136</v>
      </c>
      <c r="J4" s="65" t="s">
        <v>137</v>
      </c>
      <c r="K4" s="65" t="s">
        <v>138</v>
      </c>
      <c r="L4" s="65" t="s">
        <v>139</v>
      </c>
      <c r="M4" s="65" t="s">
        <v>140</v>
      </c>
      <c r="N4" s="65" t="s">
        <v>141</v>
      </c>
      <c r="O4" s="65" t="s">
        <v>142</v>
      </c>
      <c r="P4" s="65" t="s">
        <v>143</v>
      </c>
      <c r="Q4" s="65" t="s">
        <v>144</v>
      </c>
    </row>
    <row r="5" spans="1:256" ht="8.25" customHeight="1" x14ac:dyDescent="0.25">
      <c r="A5" s="23"/>
      <c r="B5" s="23"/>
      <c r="C5" s="23"/>
      <c r="D5" s="23"/>
      <c r="E5" s="23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pans="1:256" ht="13.5" customHeight="1" x14ac:dyDescent="0.25">
      <c r="A6" s="63" t="s">
        <v>126</v>
      </c>
      <c r="B6" s="63"/>
      <c r="C6" s="63"/>
      <c r="D6" s="63"/>
      <c r="E6" s="63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</row>
    <row r="7" spans="1:256" x14ac:dyDescent="0.25">
      <c r="A7" s="24">
        <v>1998</v>
      </c>
      <c r="B7" s="24"/>
      <c r="C7" s="24"/>
      <c r="D7" s="24"/>
      <c r="E7" s="24"/>
      <c r="F7" s="11">
        <v>666737</v>
      </c>
      <c r="G7" s="11">
        <v>458930</v>
      </c>
      <c r="H7" s="11">
        <v>335330</v>
      </c>
      <c r="I7" s="11">
        <v>253833</v>
      </c>
      <c r="J7" s="11">
        <v>183212</v>
      </c>
      <c r="K7" s="11">
        <v>113730</v>
      </c>
      <c r="L7" s="11">
        <v>55675</v>
      </c>
      <c r="M7" s="11">
        <v>95950</v>
      </c>
      <c r="N7" s="11">
        <v>77477</v>
      </c>
      <c r="O7" s="11">
        <v>29300</v>
      </c>
      <c r="P7" s="11">
        <v>26176</v>
      </c>
      <c r="Q7" s="11">
        <v>18373</v>
      </c>
    </row>
    <row r="8" spans="1:256" x14ac:dyDescent="0.25">
      <c r="A8" s="24">
        <v>1999</v>
      </c>
      <c r="B8" s="24"/>
      <c r="C8" s="24"/>
      <c r="D8" s="24"/>
      <c r="E8" s="24"/>
      <c r="F8" s="11">
        <v>681007</v>
      </c>
      <c r="G8" s="11">
        <v>452195</v>
      </c>
      <c r="H8" s="11">
        <v>349655</v>
      </c>
      <c r="I8" s="11">
        <v>263505</v>
      </c>
      <c r="J8" s="11">
        <v>200779</v>
      </c>
      <c r="K8" s="11">
        <v>146859</v>
      </c>
      <c r="L8" s="11">
        <v>88174</v>
      </c>
      <c r="M8" s="11">
        <v>44888</v>
      </c>
      <c r="N8" s="11">
        <v>92995</v>
      </c>
      <c r="O8" s="11">
        <v>31282</v>
      </c>
      <c r="P8" s="11">
        <v>25117</v>
      </c>
      <c r="Q8" s="11">
        <v>25711</v>
      </c>
    </row>
    <row r="9" spans="1:256" x14ac:dyDescent="0.25">
      <c r="A9" s="24">
        <v>2000</v>
      </c>
      <c r="B9" s="24"/>
      <c r="C9" s="24"/>
      <c r="D9" s="24"/>
      <c r="E9" s="24"/>
      <c r="F9" s="11">
        <v>719300</v>
      </c>
      <c r="G9" s="11">
        <v>474969</v>
      </c>
      <c r="H9" s="11">
        <v>358374</v>
      </c>
      <c r="I9" s="11">
        <v>280499</v>
      </c>
      <c r="J9" s="11">
        <v>212791</v>
      </c>
      <c r="K9" s="11">
        <v>165805</v>
      </c>
      <c r="L9" s="11">
        <v>116591</v>
      </c>
      <c r="M9" s="11">
        <v>69573</v>
      </c>
      <c r="N9" s="11">
        <v>47114</v>
      </c>
      <c r="O9" s="11">
        <v>54080</v>
      </c>
      <c r="P9" s="11">
        <v>28584</v>
      </c>
      <c r="Q9" s="11">
        <v>25549</v>
      </c>
    </row>
    <row r="10" spans="1:256" x14ac:dyDescent="0.25">
      <c r="A10" s="24">
        <v>2001</v>
      </c>
      <c r="B10" s="24"/>
      <c r="C10" s="24"/>
      <c r="D10" s="24"/>
      <c r="E10" s="24"/>
      <c r="F10" s="11">
        <v>742704</v>
      </c>
      <c r="G10" s="11">
        <v>544333</v>
      </c>
      <c r="H10" s="11">
        <v>405300</v>
      </c>
      <c r="I10" s="11">
        <v>298330</v>
      </c>
      <c r="J10" s="11">
        <v>237454</v>
      </c>
      <c r="K10" s="11">
        <v>179988</v>
      </c>
      <c r="L10" s="11">
        <v>131385</v>
      </c>
      <c r="M10" s="11">
        <v>92095</v>
      </c>
      <c r="N10" s="11">
        <v>60098</v>
      </c>
      <c r="O10" s="11">
        <v>27709</v>
      </c>
      <c r="P10" s="11">
        <v>47417</v>
      </c>
      <c r="Q10" s="11">
        <v>29960</v>
      </c>
    </row>
    <row r="11" spans="1:256" x14ac:dyDescent="0.25">
      <c r="A11" s="24">
        <v>2002</v>
      </c>
      <c r="B11" s="24"/>
      <c r="C11" s="24"/>
      <c r="D11" s="24"/>
      <c r="E11" s="24"/>
      <c r="F11" s="11">
        <v>782840</v>
      </c>
      <c r="G11" s="11">
        <v>599022</v>
      </c>
      <c r="H11" s="11">
        <v>480887</v>
      </c>
      <c r="I11" s="11">
        <v>364262</v>
      </c>
      <c r="J11" s="11">
        <v>267334</v>
      </c>
      <c r="K11" s="11">
        <v>211108</v>
      </c>
      <c r="L11" s="11">
        <v>153700</v>
      </c>
      <c r="M11" s="11">
        <v>111698</v>
      </c>
      <c r="N11" s="11">
        <v>86237</v>
      </c>
      <c r="O11" s="11">
        <v>40883</v>
      </c>
      <c r="P11" s="11">
        <v>24322</v>
      </c>
      <c r="Q11" s="11">
        <v>48199</v>
      </c>
    </row>
    <row r="12" spans="1:256" x14ac:dyDescent="0.25">
      <c r="A12" s="24">
        <v>2003</v>
      </c>
      <c r="B12" s="24"/>
      <c r="C12" s="24"/>
      <c r="D12" s="24"/>
      <c r="E12" s="24"/>
      <c r="F12" s="11">
        <v>656641</v>
      </c>
      <c r="G12" s="11">
        <v>597035</v>
      </c>
      <c r="H12" s="11">
        <v>511281</v>
      </c>
      <c r="I12" s="11">
        <v>423961</v>
      </c>
      <c r="J12" s="11">
        <v>322343</v>
      </c>
      <c r="K12" s="11">
        <v>236150</v>
      </c>
      <c r="L12" s="11">
        <v>180906</v>
      </c>
      <c r="M12" s="11">
        <v>126889</v>
      </c>
      <c r="N12" s="11">
        <v>623</v>
      </c>
      <c r="O12" s="11">
        <v>52557</v>
      </c>
      <c r="P12" s="11">
        <v>36827</v>
      </c>
      <c r="Q12" s="11">
        <v>38798</v>
      </c>
    </row>
    <row r="13" spans="1:256" x14ac:dyDescent="0.25">
      <c r="A13" s="24">
        <v>2004</v>
      </c>
      <c r="B13" s="24"/>
      <c r="C13" s="24"/>
      <c r="D13" s="24"/>
      <c r="E13" s="24"/>
      <c r="F13" s="11">
        <v>618642</v>
      </c>
      <c r="G13" s="11">
        <v>522512</v>
      </c>
      <c r="H13" s="11">
        <v>505004</v>
      </c>
      <c r="I13" s="11">
        <v>444694</v>
      </c>
      <c r="J13" s="11">
        <v>373482</v>
      </c>
      <c r="K13" s="11">
        <v>282746</v>
      </c>
      <c r="L13" s="11">
        <v>201095</v>
      </c>
      <c r="M13" s="11">
        <v>142672</v>
      </c>
      <c r="N13" s="11">
        <v>116219</v>
      </c>
      <c r="O13" s="11">
        <v>66655</v>
      </c>
      <c r="P13" s="11">
        <v>45957</v>
      </c>
      <c r="Q13" s="11">
        <v>41146</v>
      </c>
    </row>
    <row r="14" spans="1:256" x14ac:dyDescent="0.25">
      <c r="A14" s="24">
        <v>2005</v>
      </c>
      <c r="B14" s="24"/>
      <c r="C14" s="24"/>
      <c r="D14" s="24"/>
      <c r="E14" s="24"/>
      <c r="F14" s="11">
        <v>582210</v>
      </c>
      <c r="G14" s="11">
        <v>493504</v>
      </c>
      <c r="H14" s="11">
        <v>457218</v>
      </c>
      <c r="I14" s="11">
        <v>436441</v>
      </c>
      <c r="J14" s="11">
        <v>388170</v>
      </c>
      <c r="K14" s="11">
        <v>324586</v>
      </c>
      <c r="L14" s="11">
        <v>237829</v>
      </c>
      <c r="M14" s="11">
        <v>160691</v>
      </c>
      <c r="N14" s="11">
        <v>130420</v>
      </c>
      <c r="O14" s="11">
        <v>67707</v>
      </c>
      <c r="P14" s="11">
        <v>58722</v>
      </c>
      <c r="Q14" s="11">
        <v>50700</v>
      </c>
    </row>
    <row r="15" spans="1:256" x14ac:dyDescent="0.25">
      <c r="A15" s="24">
        <v>2006</v>
      </c>
      <c r="B15" s="24"/>
      <c r="C15" s="24"/>
      <c r="D15" s="24"/>
      <c r="E15" s="24"/>
      <c r="F15" s="11">
        <v>560171</v>
      </c>
      <c r="G15" s="11">
        <v>468537</v>
      </c>
      <c r="H15" s="11">
        <v>426731</v>
      </c>
      <c r="I15" s="11">
        <v>396181</v>
      </c>
      <c r="J15" s="11">
        <v>376046</v>
      </c>
      <c r="K15" s="11">
        <v>330801</v>
      </c>
      <c r="L15" s="11">
        <v>268087</v>
      </c>
      <c r="M15" s="11">
        <v>186223</v>
      </c>
      <c r="N15" s="11">
        <v>134023</v>
      </c>
      <c r="O15" s="11">
        <v>89383</v>
      </c>
      <c r="P15" s="11">
        <v>57536</v>
      </c>
      <c r="Q15" s="11">
        <v>58006</v>
      </c>
    </row>
    <row r="16" spans="1:256" x14ac:dyDescent="0.25">
      <c r="A16" s="24">
        <v>2007</v>
      </c>
      <c r="B16" s="24"/>
      <c r="C16" s="24"/>
      <c r="D16" s="24"/>
      <c r="E16" s="24"/>
      <c r="F16" s="11">
        <v>558263</v>
      </c>
      <c r="G16" s="11">
        <v>455626</v>
      </c>
      <c r="H16" s="11">
        <v>410323</v>
      </c>
      <c r="I16" s="11">
        <v>371058</v>
      </c>
      <c r="J16" s="11">
        <v>343727</v>
      </c>
      <c r="K16" s="11">
        <v>322138</v>
      </c>
      <c r="L16" s="11">
        <v>268120</v>
      </c>
      <c r="M16" s="11">
        <v>206007</v>
      </c>
      <c r="N16" s="11">
        <v>151878</v>
      </c>
      <c r="O16" s="11">
        <v>90315</v>
      </c>
      <c r="P16" s="11">
        <v>74274</v>
      </c>
      <c r="Q16" s="11">
        <v>57682</v>
      </c>
    </row>
    <row r="17" spans="1:17" x14ac:dyDescent="0.25">
      <c r="A17" s="24">
        <v>2008</v>
      </c>
      <c r="B17" s="24"/>
      <c r="C17" s="24"/>
      <c r="D17" s="24"/>
      <c r="E17" s="24"/>
      <c r="F17" s="11">
        <v>496448</v>
      </c>
      <c r="G17" s="11">
        <v>444761</v>
      </c>
      <c r="H17" s="11">
        <v>397985</v>
      </c>
      <c r="I17" s="11">
        <v>357099</v>
      </c>
      <c r="J17" s="11">
        <v>321182</v>
      </c>
      <c r="K17" s="11">
        <v>293632</v>
      </c>
      <c r="L17" s="11">
        <v>259480</v>
      </c>
      <c r="M17" s="11">
        <v>209094</v>
      </c>
      <c r="N17" s="11">
        <v>169055</v>
      </c>
      <c r="O17" s="11">
        <v>109629</v>
      </c>
      <c r="P17" s="11">
        <v>76651</v>
      </c>
      <c r="Q17" s="11">
        <v>74685</v>
      </c>
    </row>
    <row r="18" spans="1:17" x14ac:dyDescent="0.25">
      <c r="A18" s="24">
        <v>2009</v>
      </c>
      <c r="B18" s="24"/>
      <c r="C18" s="24"/>
      <c r="D18" s="24"/>
      <c r="E18" s="24"/>
    </row>
    <row r="19" spans="1:17" x14ac:dyDescent="0.25">
      <c r="A19" s="24">
        <v>2010</v>
      </c>
      <c r="B19" s="24"/>
      <c r="C19" s="24"/>
      <c r="D19" s="24"/>
      <c r="E19" s="24"/>
    </row>
    <row r="20" spans="1:17" x14ac:dyDescent="0.25">
      <c r="A20" s="24">
        <v>2011</v>
      </c>
      <c r="B20" s="24"/>
      <c r="C20" s="24"/>
      <c r="D20" s="24"/>
      <c r="E20" s="24"/>
    </row>
    <row r="21" spans="1:17" x14ac:dyDescent="0.25">
      <c r="A21" s="24">
        <v>2012</v>
      </c>
      <c r="B21" s="24"/>
      <c r="C21" s="24"/>
      <c r="D21" s="24"/>
      <c r="E21" s="24"/>
    </row>
    <row r="22" spans="1:17" x14ac:dyDescent="0.25">
      <c r="A22" s="24">
        <v>2013</v>
      </c>
      <c r="B22" s="24"/>
      <c r="C22" s="24"/>
      <c r="D22" s="24"/>
      <c r="E22" s="24"/>
    </row>
    <row r="23" spans="1:17" x14ac:dyDescent="0.25">
      <c r="A23" s="24">
        <v>2014</v>
      </c>
      <c r="B23" s="24"/>
      <c r="C23" s="24"/>
      <c r="D23" s="24"/>
      <c r="E23" s="24"/>
    </row>
    <row r="24" spans="1:17" x14ac:dyDescent="0.25">
      <c r="A24" s="24">
        <v>2015</v>
      </c>
      <c r="B24" s="24"/>
      <c r="C24" s="24"/>
      <c r="D24" s="24"/>
      <c r="E24" s="24"/>
    </row>
    <row r="25" spans="1:17" x14ac:dyDescent="0.25">
      <c r="A25" s="24">
        <v>2016</v>
      </c>
      <c r="B25" s="24"/>
      <c r="C25" s="24"/>
      <c r="D25" s="24"/>
      <c r="E25" s="24"/>
    </row>
    <row r="26" spans="1:17" x14ac:dyDescent="0.25">
      <c r="A26" s="24">
        <v>2017</v>
      </c>
      <c r="B26" s="24"/>
      <c r="C26" s="24"/>
      <c r="D26" s="24"/>
      <c r="E26" s="24"/>
    </row>
    <row r="27" spans="1:17" x14ac:dyDescent="0.25">
      <c r="A27" s="24">
        <v>2018</v>
      </c>
      <c r="B27" s="24"/>
      <c r="C27" s="24"/>
      <c r="D27" s="24"/>
      <c r="E27" s="24"/>
    </row>
    <row r="28" spans="1:17" x14ac:dyDescent="0.25">
      <c r="A28" s="24">
        <v>2019</v>
      </c>
      <c r="B28" s="24"/>
      <c r="C28" s="24"/>
      <c r="D28" s="24"/>
      <c r="E28" s="24"/>
    </row>
    <row r="29" spans="1:17" x14ac:dyDescent="0.25">
      <c r="A29" s="24">
        <v>2020</v>
      </c>
      <c r="B29" s="24"/>
      <c r="C29" s="24"/>
      <c r="D29" s="24"/>
      <c r="E29" s="24"/>
    </row>
    <row r="30" spans="1:17" x14ac:dyDescent="0.25">
      <c r="A30" s="24">
        <v>2021</v>
      </c>
      <c r="B30" s="24"/>
      <c r="C30" s="24"/>
      <c r="D30" s="24"/>
      <c r="E30" s="24"/>
    </row>
    <row r="31" spans="1:17" x14ac:dyDescent="0.25">
      <c r="A31" s="24">
        <v>2022</v>
      </c>
      <c r="B31" s="24"/>
      <c r="C31" s="24"/>
      <c r="D31" s="24"/>
      <c r="E31" s="24"/>
    </row>
    <row r="32" spans="1:17" x14ac:dyDescent="0.25">
      <c r="A32" s="24">
        <v>2023</v>
      </c>
      <c r="B32" s="24"/>
      <c r="C32" s="24"/>
      <c r="D32" s="24"/>
      <c r="E32" s="24"/>
    </row>
    <row r="33" spans="1:17" x14ac:dyDescent="0.25">
      <c r="A33" s="24">
        <v>2024</v>
      </c>
      <c r="B33" s="24"/>
      <c r="C33" s="24"/>
      <c r="D33" s="24"/>
      <c r="E33" s="24"/>
    </row>
    <row r="35" spans="1:17" ht="17" x14ac:dyDescent="0.25">
      <c r="A35" s="63" t="s">
        <v>129</v>
      </c>
      <c r="B35" s="63"/>
      <c r="C35" s="63"/>
      <c r="D35" s="63"/>
      <c r="E35" s="63"/>
    </row>
    <row r="36" spans="1:17" x14ac:dyDescent="0.25">
      <c r="A36" s="24">
        <v>1998</v>
      </c>
      <c r="B36" s="24"/>
      <c r="C36" s="24"/>
      <c r="D36" s="24"/>
      <c r="E36" s="24"/>
      <c r="F36" s="33">
        <f t="shared" ref="F36:Q36" si="0">F7-F65</f>
        <v>357539</v>
      </c>
      <c r="G36" s="33">
        <f t="shared" si="0"/>
        <v>249837</v>
      </c>
      <c r="H36" s="33">
        <f t="shared" si="0"/>
        <v>184653</v>
      </c>
      <c r="I36" s="33">
        <f t="shared" si="0"/>
        <v>141044</v>
      </c>
      <c r="J36" s="33">
        <f t="shared" si="0"/>
        <v>104126</v>
      </c>
      <c r="K36" s="33">
        <f t="shared" si="0"/>
        <v>67746</v>
      </c>
      <c r="L36" s="33">
        <f t="shared" si="0"/>
        <v>37108</v>
      </c>
      <c r="M36" s="33">
        <f t="shared" si="0"/>
        <v>60310</v>
      </c>
      <c r="N36" s="33">
        <f t="shared" si="0"/>
        <v>51852</v>
      </c>
      <c r="O36" s="33">
        <f t="shared" si="0"/>
        <v>19107</v>
      </c>
      <c r="P36" s="33">
        <f t="shared" si="0"/>
        <v>16953</v>
      </c>
      <c r="Q36" s="33">
        <f t="shared" si="0"/>
        <v>12181</v>
      </c>
    </row>
    <row r="37" spans="1:17" x14ac:dyDescent="0.25">
      <c r="A37" s="24">
        <v>1999</v>
      </c>
      <c r="B37" s="24"/>
      <c r="C37" s="24"/>
      <c r="D37" s="24"/>
      <c r="E37" s="24"/>
      <c r="F37" s="33">
        <f t="shared" ref="F37:Q37" si="1">F8-F66</f>
        <v>362661</v>
      </c>
      <c r="G37" s="33">
        <f t="shared" si="1"/>
        <v>244228</v>
      </c>
      <c r="H37" s="33">
        <f t="shared" si="1"/>
        <v>189551</v>
      </c>
      <c r="I37" s="33">
        <f t="shared" si="1"/>
        <v>144675</v>
      </c>
      <c r="J37" s="33">
        <f t="shared" si="1"/>
        <v>112049</v>
      </c>
      <c r="K37" s="33">
        <f t="shared" si="1"/>
        <v>84752</v>
      </c>
      <c r="L37" s="33">
        <f t="shared" si="1"/>
        <v>55398</v>
      </c>
      <c r="M37" s="33">
        <f t="shared" si="1"/>
        <v>30520</v>
      </c>
      <c r="N37" s="33">
        <f t="shared" si="1"/>
        <v>62425</v>
      </c>
      <c r="O37" s="33">
        <f t="shared" si="1"/>
        <v>20742</v>
      </c>
      <c r="P37" s="33">
        <f t="shared" si="1"/>
        <v>16697</v>
      </c>
      <c r="Q37" s="33">
        <f t="shared" si="1"/>
        <v>17217</v>
      </c>
    </row>
    <row r="38" spans="1:17" x14ac:dyDescent="0.25">
      <c r="A38" s="24">
        <v>2000</v>
      </c>
      <c r="B38" s="24"/>
      <c r="C38" s="24"/>
      <c r="D38" s="24"/>
      <c r="E38" s="24"/>
      <c r="F38" s="33">
        <f t="shared" ref="F38:Q38" si="2">F9-F67</f>
        <v>383118</v>
      </c>
      <c r="G38" s="33">
        <f t="shared" si="2"/>
        <v>256526</v>
      </c>
      <c r="H38" s="33">
        <f t="shared" si="2"/>
        <v>194185</v>
      </c>
      <c r="I38" s="33">
        <f t="shared" si="2"/>
        <v>152162</v>
      </c>
      <c r="J38" s="33">
        <f t="shared" si="2"/>
        <v>117749</v>
      </c>
      <c r="K38" s="33">
        <f t="shared" si="2"/>
        <v>94864</v>
      </c>
      <c r="L38" s="33">
        <f t="shared" si="2"/>
        <v>71365</v>
      </c>
      <c r="M38" s="33">
        <f t="shared" si="2"/>
        <v>45069</v>
      </c>
      <c r="N38" s="33">
        <f t="shared" si="2"/>
        <v>34358</v>
      </c>
      <c r="O38" s="33">
        <f t="shared" si="2"/>
        <v>35458</v>
      </c>
      <c r="P38" s="33">
        <f t="shared" si="2"/>
        <v>18892</v>
      </c>
      <c r="Q38" s="33">
        <f t="shared" si="2"/>
        <v>17417</v>
      </c>
    </row>
    <row r="39" spans="1:17" x14ac:dyDescent="0.25">
      <c r="A39" s="24">
        <v>2001</v>
      </c>
      <c r="B39" s="24"/>
      <c r="C39" s="24"/>
      <c r="D39" s="24"/>
      <c r="E39" s="24"/>
      <c r="F39" s="33">
        <f t="shared" ref="F39:Q39" si="3">F10-F68</f>
        <v>393597</v>
      </c>
      <c r="G39" s="33">
        <f t="shared" si="3"/>
        <v>291872</v>
      </c>
      <c r="H39" s="33">
        <f t="shared" si="3"/>
        <v>218034</v>
      </c>
      <c r="I39" s="33">
        <f t="shared" si="3"/>
        <v>160688</v>
      </c>
      <c r="J39" s="33">
        <f t="shared" si="3"/>
        <v>128968</v>
      </c>
      <c r="K39" s="33">
        <f t="shared" si="3"/>
        <v>101579</v>
      </c>
      <c r="L39" s="33">
        <f t="shared" si="3"/>
        <v>79824</v>
      </c>
      <c r="M39" s="33">
        <f t="shared" si="3"/>
        <v>58118</v>
      </c>
      <c r="N39" s="33">
        <f t="shared" si="3"/>
        <v>40820</v>
      </c>
      <c r="O39" s="33">
        <f t="shared" si="3"/>
        <v>19969</v>
      </c>
      <c r="P39" s="33">
        <f t="shared" si="3"/>
        <v>31396</v>
      </c>
      <c r="Q39" s="33">
        <f t="shared" si="3"/>
        <v>20256</v>
      </c>
    </row>
    <row r="40" spans="1:17" x14ac:dyDescent="0.25">
      <c r="A40" s="24">
        <v>2002</v>
      </c>
      <c r="B40" s="24"/>
      <c r="C40" s="24"/>
      <c r="D40" s="24"/>
      <c r="E40" s="24"/>
      <c r="F40" s="33">
        <f t="shared" ref="F40:Q40" si="4">F11-F69</f>
        <v>415017</v>
      </c>
      <c r="G40" s="33">
        <f t="shared" si="4"/>
        <v>319944</v>
      </c>
      <c r="H40" s="33">
        <f t="shared" si="4"/>
        <v>257803</v>
      </c>
      <c r="I40" s="33">
        <f t="shared" si="4"/>
        <v>195287</v>
      </c>
      <c r="J40" s="33">
        <f t="shared" si="4"/>
        <v>143907</v>
      </c>
      <c r="K40" s="33">
        <f t="shared" si="4"/>
        <v>115806</v>
      </c>
      <c r="L40" s="33">
        <f t="shared" si="4"/>
        <v>90543</v>
      </c>
      <c r="M40" s="33">
        <f t="shared" si="4"/>
        <v>68917</v>
      </c>
      <c r="N40" s="33">
        <f t="shared" si="4"/>
        <v>56238</v>
      </c>
      <c r="O40" s="33">
        <f t="shared" si="4"/>
        <v>27094</v>
      </c>
      <c r="P40" s="33">
        <f t="shared" si="4"/>
        <v>17441</v>
      </c>
      <c r="Q40" s="33">
        <f t="shared" si="4"/>
        <v>32458</v>
      </c>
    </row>
    <row r="41" spans="1:17" x14ac:dyDescent="0.25">
      <c r="A41" s="24">
        <v>2003</v>
      </c>
      <c r="B41" s="24"/>
      <c r="C41" s="24"/>
      <c r="D41" s="24"/>
      <c r="E41" s="24"/>
      <c r="F41" s="33">
        <f t="shared" ref="F41:Q41" si="5">F12-F70</f>
        <v>350871</v>
      </c>
      <c r="G41" s="33">
        <f t="shared" si="5"/>
        <v>318260</v>
      </c>
      <c r="H41" s="33">
        <f t="shared" si="5"/>
        <v>270600</v>
      </c>
      <c r="I41" s="33">
        <f t="shared" si="5"/>
        <v>224465</v>
      </c>
      <c r="J41" s="33">
        <f t="shared" si="5"/>
        <v>171808</v>
      </c>
      <c r="K41" s="33">
        <f t="shared" si="5"/>
        <v>127547</v>
      </c>
      <c r="L41" s="33">
        <f t="shared" si="5"/>
        <v>103398</v>
      </c>
      <c r="M41" s="33">
        <f t="shared" si="5"/>
        <v>76179</v>
      </c>
      <c r="N41" s="33">
        <f t="shared" si="5"/>
        <v>-107285</v>
      </c>
      <c r="O41" s="33">
        <f t="shared" si="5"/>
        <v>33210</v>
      </c>
      <c r="P41" s="33">
        <f t="shared" si="5"/>
        <v>24473</v>
      </c>
      <c r="Q41" s="33">
        <f t="shared" si="5"/>
        <v>27704</v>
      </c>
    </row>
    <row r="42" spans="1:17" x14ac:dyDescent="0.25">
      <c r="A42" s="24">
        <v>2004</v>
      </c>
      <c r="B42" s="24"/>
      <c r="C42" s="24"/>
      <c r="D42" s="24"/>
      <c r="E42" s="24"/>
      <c r="F42" s="33">
        <f t="shared" ref="F42:Q42" si="6">F13-F71</f>
        <v>330241</v>
      </c>
      <c r="G42" s="33">
        <f t="shared" si="6"/>
        <v>280600</v>
      </c>
      <c r="H42" s="33">
        <f t="shared" si="6"/>
        <v>266554</v>
      </c>
      <c r="I42" s="33">
        <f t="shared" si="6"/>
        <v>232075</v>
      </c>
      <c r="J42" s="33">
        <f t="shared" si="6"/>
        <v>195652</v>
      </c>
      <c r="K42" s="33">
        <f t="shared" si="6"/>
        <v>150705</v>
      </c>
      <c r="L42" s="33">
        <f t="shared" si="6"/>
        <v>112076</v>
      </c>
      <c r="M42" s="33">
        <f t="shared" si="6"/>
        <v>82673</v>
      </c>
      <c r="N42" s="33">
        <f t="shared" si="6"/>
        <v>72507</v>
      </c>
      <c r="O42" s="33">
        <f t="shared" si="6"/>
        <v>41941</v>
      </c>
      <c r="P42" s="33">
        <f t="shared" si="6"/>
        <v>28783</v>
      </c>
      <c r="Q42" s="33">
        <f t="shared" si="6"/>
        <v>28026</v>
      </c>
    </row>
    <row r="43" spans="1:17" x14ac:dyDescent="0.25">
      <c r="A43" s="24">
        <v>2005</v>
      </c>
      <c r="B43" s="24"/>
      <c r="C43" s="24"/>
      <c r="D43" s="24"/>
      <c r="E43" s="24"/>
      <c r="F43" s="33">
        <f t="shared" ref="F43:Q43" si="7">F14-F72</f>
        <v>309635</v>
      </c>
      <c r="G43" s="33">
        <f t="shared" si="7"/>
        <v>264038</v>
      </c>
      <c r="H43" s="33">
        <f t="shared" si="7"/>
        <v>243823</v>
      </c>
      <c r="I43" s="33">
        <f t="shared" si="7"/>
        <v>227871</v>
      </c>
      <c r="J43" s="33">
        <f t="shared" si="7"/>
        <v>201495</v>
      </c>
      <c r="K43" s="33">
        <f t="shared" si="7"/>
        <v>168847</v>
      </c>
      <c r="L43" s="33">
        <f t="shared" si="7"/>
        <v>130134</v>
      </c>
      <c r="M43" s="33">
        <f t="shared" si="7"/>
        <v>90529</v>
      </c>
      <c r="N43" s="33">
        <f t="shared" si="7"/>
        <v>78229</v>
      </c>
      <c r="O43" s="33">
        <f t="shared" si="7"/>
        <v>41285</v>
      </c>
      <c r="P43" s="33">
        <f t="shared" si="7"/>
        <v>36694</v>
      </c>
      <c r="Q43" s="33">
        <f t="shared" si="7"/>
        <v>32826</v>
      </c>
    </row>
    <row r="44" spans="1:17" x14ac:dyDescent="0.25">
      <c r="A44" s="24">
        <v>2006</v>
      </c>
      <c r="B44" s="24"/>
      <c r="C44" s="24"/>
      <c r="D44" s="24"/>
      <c r="E44" s="24"/>
      <c r="F44" s="33">
        <f t="shared" ref="F44:Q44" si="8">F15-F73</f>
        <v>297736</v>
      </c>
      <c r="G44" s="33">
        <f t="shared" si="8"/>
        <v>250603</v>
      </c>
      <c r="H44" s="33">
        <f t="shared" si="8"/>
        <v>228005</v>
      </c>
      <c r="I44" s="33">
        <f t="shared" si="8"/>
        <v>208812</v>
      </c>
      <c r="J44" s="33">
        <f t="shared" si="8"/>
        <v>194127</v>
      </c>
      <c r="K44" s="33">
        <f t="shared" si="8"/>
        <v>169902</v>
      </c>
      <c r="L44" s="33">
        <f t="shared" si="8"/>
        <v>142807</v>
      </c>
      <c r="M44" s="33">
        <f t="shared" si="8"/>
        <v>103474</v>
      </c>
      <c r="N44" s="33">
        <f t="shared" si="8"/>
        <v>77923</v>
      </c>
      <c r="O44" s="33">
        <f t="shared" si="8"/>
        <v>53321</v>
      </c>
      <c r="P44" s="33">
        <f t="shared" si="8"/>
        <v>34977</v>
      </c>
      <c r="Q44" s="33">
        <f t="shared" si="8"/>
        <v>37064</v>
      </c>
    </row>
    <row r="45" spans="1:17" x14ac:dyDescent="0.25">
      <c r="A45" s="24">
        <v>2007</v>
      </c>
      <c r="B45" s="24"/>
      <c r="C45" s="24"/>
      <c r="D45" s="24"/>
      <c r="E45" s="24"/>
      <c r="F45" s="33">
        <f t="shared" ref="F45:Q45" si="9">F16-F74</f>
        <v>297032</v>
      </c>
      <c r="G45" s="33">
        <f t="shared" si="9"/>
        <v>243037</v>
      </c>
      <c r="H45" s="33">
        <f t="shared" si="9"/>
        <v>218585</v>
      </c>
      <c r="I45" s="33">
        <f t="shared" si="9"/>
        <v>196230</v>
      </c>
      <c r="J45" s="33">
        <f t="shared" si="9"/>
        <v>178951</v>
      </c>
      <c r="K45" s="33">
        <f t="shared" si="9"/>
        <v>165596</v>
      </c>
      <c r="L45" s="33">
        <f t="shared" si="9"/>
        <v>140732</v>
      </c>
      <c r="M45" s="33">
        <f t="shared" si="9"/>
        <v>111801</v>
      </c>
      <c r="N45" s="33">
        <f t="shared" si="9"/>
        <v>87773</v>
      </c>
      <c r="O45" s="33">
        <f t="shared" si="9"/>
        <v>52835</v>
      </c>
      <c r="P45" s="33">
        <f t="shared" si="9"/>
        <v>44654</v>
      </c>
      <c r="Q45" s="33">
        <f t="shared" si="9"/>
        <v>36081</v>
      </c>
    </row>
    <row r="46" spans="1:17" x14ac:dyDescent="0.25">
      <c r="A46" s="24">
        <v>2008</v>
      </c>
      <c r="B46" s="24"/>
      <c r="C46" s="24"/>
      <c r="D46" s="24"/>
      <c r="E46" s="24"/>
      <c r="F46" s="33">
        <f t="shared" ref="F46:Q46" si="10">F17-F75</f>
        <v>262977</v>
      </c>
      <c r="G46" s="33">
        <f t="shared" si="10"/>
        <v>236103</v>
      </c>
      <c r="H46" s="33">
        <f t="shared" si="10"/>
        <v>211142</v>
      </c>
      <c r="I46" s="33">
        <f t="shared" si="10"/>
        <v>187839</v>
      </c>
      <c r="J46" s="33">
        <f t="shared" si="10"/>
        <v>167392</v>
      </c>
      <c r="K46" s="33">
        <f t="shared" si="10"/>
        <v>151077</v>
      </c>
      <c r="L46" s="33">
        <f t="shared" si="10"/>
        <v>134919</v>
      </c>
      <c r="M46" s="33">
        <f t="shared" si="10"/>
        <v>111006</v>
      </c>
      <c r="N46" s="33">
        <f t="shared" si="10"/>
        <v>94797</v>
      </c>
      <c r="O46" s="33">
        <f t="shared" si="10"/>
        <v>63797</v>
      </c>
      <c r="P46" s="33">
        <f t="shared" si="10"/>
        <v>45018</v>
      </c>
      <c r="Q46" s="33">
        <f t="shared" si="10"/>
        <v>45368</v>
      </c>
    </row>
    <row r="47" spans="1:17" x14ac:dyDescent="0.25">
      <c r="A47" s="24">
        <v>2009</v>
      </c>
      <c r="B47" s="24"/>
      <c r="C47" s="24"/>
      <c r="D47" s="24"/>
      <c r="E47" s="24"/>
    </row>
    <row r="48" spans="1:17" x14ac:dyDescent="0.25">
      <c r="A48" s="24">
        <v>2010</v>
      </c>
      <c r="B48" s="24"/>
      <c r="C48" s="24"/>
      <c r="D48" s="24"/>
      <c r="E48" s="24"/>
    </row>
    <row r="49" spans="1:5" x14ac:dyDescent="0.25">
      <c r="A49" s="24">
        <v>2011</v>
      </c>
      <c r="B49" s="24"/>
      <c r="C49" s="24"/>
      <c r="D49" s="24"/>
      <c r="E49" s="24"/>
    </row>
    <row r="50" spans="1:5" x14ac:dyDescent="0.25">
      <c r="A50" s="24">
        <v>2012</v>
      </c>
      <c r="B50" s="24"/>
      <c r="C50" s="24"/>
      <c r="D50" s="24"/>
      <c r="E50" s="24"/>
    </row>
    <row r="51" spans="1:5" x14ac:dyDescent="0.25">
      <c r="A51" s="24">
        <v>2013</v>
      </c>
      <c r="B51" s="24"/>
      <c r="C51" s="24"/>
      <c r="D51" s="24"/>
      <c r="E51" s="24"/>
    </row>
    <row r="52" spans="1:5" x14ac:dyDescent="0.25">
      <c r="A52" s="24">
        <v>2014</v>
      </c>
      <c r="B52" s="24"/>
      <c r="C52" s="24"/>
      <c r="D52" s="24"/>
      <c r="E52" s="24"/>
    </row>
    <row r="53" spans="1:5" x14ac:dyDescent="0.25">
      <c r="A53" s="24">
        <v>2015</v>
      </c>
      <c r="B53" s="24"/>
      <c r="C53" s="24"/>
      <c r="D53" s="24"/>
      <c r="E53" s="24"/>
    </row>
    <row r="54" spans="1:5" x14ac:dyDescent="0.25">
      <c r="A54" s="24">
        <v>2016</v>
      </c>
      <c r="B54" s="24"/>
      <c r="C54" s="24"/>
      <c r="D54" s="24"/>
      <c r="E54" s="24"/>
    </row>
    <row r="55" spans="1:5" x14ac:dyDescent="0.25">
      <c r="A55" s="24">
        <v>2017</v>
      </c>
      <c r="B55" s="24"/>
      <c r="C55" s="24"/>
      <c r="D55" s="24"/>
      <c r="E55" s="24"/>
    </row>
    <row r="56" spans="1:5" x14ac:dyDescent="0.25">
      <c r="A56" s="24">
        <v>2018</v>
      </c>
      <c r="B56" s="24"/>
      <c r="C56" s="24"/>
      <c r="D56" s="24"/>
      <c r="E56" s="24"/>
    </row>
    <row r="57" spans="1:5" x14ac:dyDescent="0.25">
      <c r="A57" s="24">
        <v>2019</v>
      </c>
      <c r="B57" s="24"/>
      <c r="C57" s="24"/>
      <c r="D57" s="24"/>
      <c r="E57" s="24"/>
    </row>
    <row r="58" spans="1:5" x14ac:dyDescent="0.25">
      <c r="A58" s="24">
        <v>2020</v>
      </c>
      <c r="B58" s="24"/>
      <c r="C58" s="24"/>
      <c r="D58" s="24"/>
      <c r="E58" s="24"/>
    </row>
    <row r="59" spans="1:5" x14ac:dyDescent="0.25">
      <c r="A59" s="24">
        <v>2021</v>
      </c>
      <c r="B59" s="24"/>
      <c r="C59" s="24"/>
      <c r="D59" s="24"/>
      <c r="E59" s="24"/>
    </row>
    <row r="60" spans="1:5" x14ac:dyDescent="0.25">
      <c r="A60" s="24">
        <v>2022</v>
      </c>
      <c r="B60" s="24"/>
      <c r="C60" s="24"/>
      <c r="D60" s="24"/>
      <c r="E60" s="24"/>
    </row>
    <row r="61" spans="1:5" x14ac:dyDescent="0.25">
      <c r="A61" s="24">
        <v>2023</v>
      </c>
      <c r="B61" s="24"/>
      <c r="C61" s="24"/>
      <c r="D61" s="24"/>
      <c r="E61" s="24"/>
    </row>
    <row r="62" spans="1:5" x14ac:dyDescent="0.25">
      <c r="A62" s="24">
        <v>2024</v>
      </c>
      <c r="B62" s="24"/>
      <c r="C62" s="24"/>
      <c r="D62" s="24"/>
      <c r="E62" s="24"/>
    </row>
    <row r="64" spans="1:5" ht="17" x14ac:dyDescent="0.25">
      <c r="A64" s="63" t="s">
        <v>127</v>
      </c>
      <c r="B64" s="63"/>
      <c r="C64" s="63"/>
      <c r="D64" s="63"/>
      <c r="E64" s="63"/>
    </row>
    <row r="65" spans="1:17" x14ac:dyDescent="0.25">
      <c r="A65" s="24">
        <v>1998</v>
      </c>
      <c r="B65" s="24"/>
      <c r="C65" s="24"/>
      <c r="D65" s="24"/>
      <c r="E65" s="24"/>
      <c r="F65" s="11">
        <v>309198</v>
      </c>
      <c r="G65" s="11">
        <v>209093</v>
      </c>
      <c r="H65" s="11">
        <v>150677</v>
      </c>
      <c r="I65" s="11">
        <v>112789</v>
      </c>
      <c r="J65" s="11">
        <v>79086</v>
      </c>
      <c r="K65" s="11">
        <v>45984</v>
      </c>
      <c r="L65" s="11">
        <v>18567</v>
      </c>
      <c r="M65" s="11">
        <v>35640</v>
      </c>
      <c r="N65" s="11">
        <v>25625</v>
      </c>
      <c r="O65" s="11">
        <v>10193</v>
      </c>
      <c r="P65" s="11">
        <v>9223</v>
      </c>
      <c r="Q65" s="11">
        <v>6192</v>
      </c>
    </row>
    <row r="66" spans="1:17" x14ac:dyDescent="0.25">
      <c r="A66" s="24">
        <v>1999</v>
      </c>
      <c r="B66" s="24"/>
      <c r="C66" s="24"/>
      <c r="D66" s="24"/>
      <c r="E66" s="24"/>
      <c r="F66" s="11">
        <v>318346</v>
      </c>
      <c r="G66" s="11">
        <v>207967</v>
      </c>
      <c r="H66" s="11">
        <v>160104</v>
      </c>
      <c r="I66" s="11">
        <v>118830</v>
      </c>
      <c r="J66" s="11">
        <v>88730</v>
      </c>
      <c r="K66" s="11">
        <v>62107</v>
      </c>
      <c r="L66" s="11">
        <v>32776</v>
      </c>
      <c r="M66" s="11">
        <v>14368</v>
      </c>
      <c r="N66" s="11">
        <v>30570</v>
      </c>
      <c r="O66" s="11">
        <v>10540</v>
      </c>
      <c r="P66" s="11">
        <v>8420</v>
      </c>
      <c r="Q66" s="11">
        <v>8494</v>
      </c>
    </row>
    <row r="67" spans="1:17" x14ac:dyDescent="0.25">
      <c r="A67" s="24">
        <v>2000</v>
      </c>
      <c r="B67" s="24"/>
      <c r="C67" s="24"/>
      <c r="D67" s="24"/>
      <c r="E67" s="24"/>
      <c r="F67" s="11">
        <v>336182</v>
      </c>
      <c r="G67" s="11">
        <v>218443</v>
      </c>
      <c r="H67" s="11">
        <v>164189</v>
      </c>
      <c r="I67" s="11">
        <v>128337</v>
      </c>
      <c r="J67" s="11">
        <v>95042</v>
      </c>
      <c r="K67" s="11">
        <v>70941</v>
      </c>
      <c r="L67" s="11">
        <v>45226</v>
      </c>
      <c r="M67" s="11">
        <v>24504</v>
      </c>
      <c r="N67" s="11">
        <v>12756</v>
      </c>
      <c r="O67" s="11">
        <v>18622</v>
      </c>
      <c r="P67" s="11">
        <v>9692</v>
      </c>
      <c r="Q67" s="11">
        <v>8132</v>
      </c>
    </row>
    <row r="68" spans="1:17" x14ac:dyDescent="0.25">
      <c r="A68" s="24">
        <v>2001</v>
      </c>
      <c r="B68" s="24"/>
      <c r="C68" s="24"/>
      <c r="D68" s="24"/>
      <c r="E68" s="24"/>
      <c r="F68" s="11">
        <v>349107</v>
      </c>
      <c r="G68" s="11">
        <v>252461</v>
      </c>
      <c r="H68" s="11">
        <v>187266</v>
      </c>
      <c r="I68" s="11">
        <v>137642</v>
      </c>
      <c r="J68" s="11">
        <v>108486</v>
      </c>
      <c r="K68" s="11">
        <v>78409</v>
      </c>
      <c r="L68" s="11">
        <v>51561</v>
      </c>
      <c r="M68" s="11">
        <v>33977</v>
      </c>
      <c r="N68" s="11">
        <v>19278</v>
      </c>
      <c r="O68" s="11">
        <v>7740</v>
      </c>
      <c r="P68" s="11">
        <v>16021</v>
      </c>
      <c r="Q68" s="11">
        <v>9704</v>
      </c>
    </row>
    <row r="69" spans="1:17" x14ac:dyDescent="0.25">
      <c r="A69" s="24">
        <v>2002</v>
      </c>
      <c r="B69" s="24"/>
      <c r="C69" s="24"/>
      <c r="D69" s="24"/>
      <c r="E69" s="24"/>
      <c r="F69" s="11">
        <v>367823</v>
      </c>
      <c r="G69" s="11">
        <v>279078</v>
      </c>
      <c r="H69" s="11">
        <v>223084</v>
      </c>
      <c r="I69" s="11">
        <v>168975</v>
      </c>
      <c r="J69" s="11">
        <v>123427</v>
      </c>
      <c r="K69" s="11">
        <v>95302</v>
      </c>
      <c r="L69" s="11">
        <v>63157</v>
      </c>
      <c r="M69" s="11">
        <v>42781</v>
      </c>
      <c r="N69" s="11">
        <v>29999</v>
      </c>
      <c r="O69" s="11">
        <v>13789</v>
      </c>
      <c r="P69" s="11">
        <v>6881</v>
      </c>
      <c r="Q69" s="11">
        <v>15741</v>
      </c>
    </row>
    <row r="70" spans="1:17" x14ac:dyDescent="0.25">
      <c r="A70" s="24">
        <v>2003</v>
      </c>
      <c r="B70" s="24"/>
      <c r="C70" s="24"/>
      <c r="D70" s="24"/>
      <c r="E70" s="24"/>
      <c r="F70" s="11">
        <v>305770</v>
      </c>
      <c r="G70" s="11">
        <v>278775</v>
      </c>
      <c r="H70" s="11">
        <v>240681</v>
      </c>
      <c r="I70" s="11">
        <v>199496</v>
      </c>
      <c r="J70" s="11">
        <v>150535</v>
      </c>
      <c r="K70" s="11">
        <v>108603</v>
      </c>
      <c r="L70" s="11">
        <v>77508</v>
      </c>
      <c r="M70" s="11">
        <v>50710</v>
      </c>
      <c r="N70" s="11">
        <v>107908</v>
      </c>
      <c r="O70" s="11">
        <v>19347</v>
      </c>
      <c r="P70" s="11">
        <v>12354</v>
      </c>
      <c r="Q70" s="11">
        <v>11094</v>
      </c>
    </row>
    <row r="71" spans="1:17" x14ac:dyDescent="0.25">
      <c r="A71" s="24">
        <v>2004</v>
      </c>
      <c r="B71" s="24"/>
      <c r="C71" s="24"/>
      <c r="D71" s="24"/>
      <c r="E71" s="24"/>
      <c r="F71" s="11">
        <v>288401</v>
      </c>
      <c r="G71" s="11">
        <v>241912</v>
      </c>
      <c r="H71" s="11">
        <v>238450</v>
      </c>
      <c r="I71" s="11">
        <v>212619</v>
      </c>
      <c r="J71" s="11">
        <v>177830</v>
      </c>
      <c r="K71" s="11">
        <v>132041</v>
      </c>
      <c r="L71" s="11">
        <v>89019</v>
      </c>
      <c r="M71" s="11">
        <v>59999</v>
      </c>
      <c r="N71" s="11">
        <v>43712</v>
      </c>
      <c r="O71" s="11">
        <v>24714</v>
      </c>
      <c r="P71" s="11">
        <v>17174</v>
      </c>
      <c r="Q71" s="11">
        <v>13120</v>
      </c>
    </row>
    <row r="72" spans="1:17" x14ac:dyDescent="0.25">
      <c r="A72" s="24">
        <v>2005</v>
      </c>
      <c r="B72" s="24"/>
      <c r="C72" s="24"/>
      <c r="D72" s="24"/>
      <c r="E72" s="24"/>
      <c r="F72" s="11">
        <v>272575</v>
      </c>
      <c r="G72" s="11">
        <v>229466</v>
      </c>
      <c r="H72" s="11">
        <v>213395</v>
      </c>
      <c r="I72" s="11">
        <v>208570</v>
      </c>
      <c r="J72" s="11">
        <v>186675</v>
      </c>
      <c r="K72" s="11">
        <v>155739</v>
      </c>
      <c r="L72" s="11">
        <v>107695</v>
      </c>
      <c r="M72" s="11">
        <v>70162</v>
      </c>
      <c r="N72" s="11">
        <v>52191</v>
      </c>
      <c r="O72" s="11">
        <v>26422</v>
      </c>
      <c r="P72" s="11">
        <v>22028</v>
      </c>
      <c r="Q72" s="11">
        <v>17874</v>
      </c>
    </row>
    <row r="73" spans="1:17" x14ac:dyDescent="0.25">
      <c r="A73" s="24">
        <v>2006</v>
      </c>
      <c r="B73" s="24"/>
      <c r="C73" s="24"/>
      <c r="D73" s="24"/>
      <c r="E73" s="24"/>
      <c r="F73" s="11">
        <v>262435</v>
      </c>
      <c r="G73" s="11">
        <v>217934</v>
      </c>
      <c r="H73" s="11">
        <v>198726</v>
      </c>
      <c r="I73" s="11">
        <v>187369</v>
      </c>
      <c r="J73" s="11">
        <v>181919</v>
      </c>
      <c r="K73" s="11">
        <v>160899</v>
      </c>
      <c r="L73" s="11">
        <v>125280</v>
      </c>
      <c r="M73" s="11">
        <v>82749</v>
      </c>
      <c r="N73" s="11">
        <v>56100</v>
      </c>
      <c r="O73" s="11">
        <v>36062</v>
      </c>
      <c r="P73" s="11">
        <v>22559</v>
      </c>
      <c r="Q73" s="11">
        <v>20942</v>
      </c>
    </row>
    <row r="74" spans="1:17" x14ac:dyDescent="0.25">
      <c r="A74" s="24">
        <v>2007</v>
      </c>
      <c r="B74" s="24"/>
      <c r="C74" s="24"/>
      <c r="D74" s="24"/>
      <c r="E74" s="24"/>
      <c r="F74" s="11">
        <v>261231</v>
      </c>
      <c r="G74" s="11">
        <v>212589</v>
      </c>
      <c r="H74" s="11">
        <v>191738</v>
      </c>
      <c r="I74" s="11">
        <v>174828</v>
      </c>
      <c r="J74" s="11">
        <v>164776</v>
      </c>
      <c r="K74" s="11">
        <v>156542</v>
      </c>
      <c r="L74" s="11">
        <v>127388</v>
      </c>
      <c r="M74" s="11">
        <v>94206</v>
      </c>
      <c r="N74" s="11">
        <v>64105</v>
      </c>
      <c r="O74" s="11">
        <v>37480</v>
      </c>
      <c r="P74" s="11">
        <v>29620</v>
      </c>
      <c r="Q74" s="11">
        <v>21601</v>
      </c>
    </row>
    <row r="75" spans="1:17" x14ac:dyDescent="0.25">
      <c r="A75" s="38">
        <v>2008</v>
      </c>
      <c r="B75" s="38"/>
      <c r="C75" s="38"/>
      <c r="D75" s="38"/>
      <c r="E75" s="38"/>
      <c r="F75" s="46">
        <v>233471</v>
      </c>
      <c r="G75" s="46">
        <v>208658</v>
      </c>
      <c r="H75" s="46">
        <v>186843</v>
      </c>
      <c r="I75" s="46">
        <v>169260</v>
      </c>
      <c r="J75" s="46">
        <v>153790</v>
      </c>
      <c r="K75" s="46">
        <v>142555</v>
      </c>
      <c r="L75" s="46">
        <v>124561</v>
      </c>
      <c r="M75" s="46">
        <v>98088</v>
      </c>
      <c r="N75" s="46">
        <v>74258</v>
      </c>
      <c r="O75" s="46">
        <v>45832</v>
      </c>
      <c r="P75" s="46">
        <v>31633</v>
      </c>
      <c r="Q75" s="46">
        <v>29317</v>
      </c>
    </row>
    <row r="76" spans="1:17" x14ac:dyDescent="0.25">
      <c r="A76" s="24">
        <v>2009</v>
      </c>
      <c r="B76" s="24"/>
      <c r="C76" s="24"/>
      <c r="D76" s="24"/>
      <c r="E76" s="24"/>
    </row>
    <row r="77" spans="1:17" x14ac:dyDescent="0.25">
      <c r="A77" s="124" t="s">
        <v>410</v>
      </c>
      <c r="B77" s="124"/>
      <c r="C77" s="124"/>
      <c r="D77" s="124"/>
      <c r="E77" s="124"/>
    </row>
    <row r="78" spans="1:17" x14ac:dyDescent="0.25">
      <c r="A78" s="24">
        <v>2011</v>
      </c>
      <c r="B78" s="24"/>
      <c r="C78" s="24"/>
      <c r="D78" s="24"/>
      <c r="E78" s="24"/>
    </row>
    <row r="79" spans="1:17" x14ac:dyDescent="0.25">
      <c r="A79" s="24">
        <v>2012</v>
      </c>
      <c r="B79" s="24"/>
      <c r="C79" s="24"/>
      <c r="D79" s="24"/>
      <c r="E79" s="24"/>
    </row>
    <row r="80" spans="1:17" x14ac:dyDescent="0.25">
      <c r="A80" s="24">
        <v>2013</v>
      </c>
      <c r="B80" s="24"/>
      <c r="C80" s="24"/>
      <c r="D80" s="24"/>
      <c r="E80" s="24"/>
    </row>
    <row r="81" spans="1:17" x14ac:dyDescent="0.25">
      <c r="A81" s="24">
        <v>2014</v>
      </c>
      <c r="B81" s="24"/>
      <c r="C81" s="24"/>
      <c r="D81" s="24"/>
      <c r="E81" s="24"/>
    </row>
    <row r="82" spans="1:17" x14ac:dyDescent="0.25">
      <c r="A82" s="24">
        <v>2015</v>
      </c>
      <c r="B82" s="24"/>
      <c r="C82" s="24"/>
      <c r="D82" s="24"/>
      <c r="E82" s="24"/>
    </row>
    <row r="83" spans="1:17" x14ac:dyDescent="0.25">
      <c r="A83" s="24">
        <v>2016</v>
      </c>
      <c r="B83" s="24"/>
      <c r="C83" s="24"/>
      <c r="D83" s="24"/>
      <c r="E83" s="24"/>
    </row>
    <row r="84" spans="1:17" x14ac:dyDescent="0.25">
      <c r="A84" s="24">
        <v>2017</v>
      </c>
      <c r="B84" s="24"/>
      <c r="C84" s="24"/>
      <c r="D84" s="24"/>
      <c r="E84" s="24"/>
    </row>
    <row r="85" spans="1:17" x14ac:dyDescent="0.25">
      <c r="A85" s="24">
        <v>2018</v>
      </c>
      <c r="B85" s="24"/>
      <c r="C85" s="24"/>
      <c r="D85" s="24"/>
      <c r="E85" s="24"/>
    </row>
    <row r="86" spans="1:17" x14ac:dyDescent="0.25">
      <c r="A86" s="24">
        <v>2019</v>
      </c>
      <c r="B86" s="24"/>
      <c r="C86" s="24"/>
      <c r="D86" s="24"/>
      <c r="E86" s="24"/>
    </row>
    <row r="87" spans="1:17" x14ac:dyDescent="0.25">
      <c r="A87" s="24">
        <v>2020</v>
      </c>
      <c r="B87" s="24"/>
      <c r="C87" s="24"/>
      <c r="D87" s="24"/>
      <c r="E87" s="24"/>
    </row>
    <row r="88" spans="1:17" x14ac:dyDescent="0.25">
      <c r="A88" s="24">
        <v>2021</v>
      </c>
      <c r="B88" s="24"/>
      <c r="C88" s="24"/>
      <c r="D88" s="24"/>
      <c r="E88" s="24"/>
    </row>
    <row r="89" spans="1:17" x14ac:dyDescent="0.25">
      <c r="A89" s="24">
        <v>2022</v>
      </c>
      <c r="B89" s="24"/>
      <c r="C89" s="24"/>
      <c r="D89" s="24"/>
      <c r="E89" s="24"/>
    </row>
    <row r="90" spans="1:17" x14ac:dyDescent="0.25">
      <c r="A90" s="24">
        <v>2023</v>
      </c>
      <c r="B90" s="24"/>
      <c r="C90" s="24"/>
      <c r="D90" s="24"/>
      <c r="E90" s="24"/>
    </row>
    <row r="91" spans="1:17" x14ac:dyDescent="0.25">
      <c r="A91" s="38">
        <v>2024</v>
      </c>
      <c r="B91" s="38"/>
      <c r="C91" s="38"/>
      <c r="D91" s="38"/>
      <c r="E91" s="38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spans="1:17" x14ac:dyDescent="0.25">
      <c r="A92" s="1" t="s">
        <v>410</v>
      </c>
    </row>
  </sheetData>
  <mergeCells count="5">
    <mergeCell ref="A3:A4"/>
    <mergeCell ref="F3:K3"/>
    <mergeCell ref="L3:N3"/>
    <mergeCell ref="O3:Q3"/>
    <mergeCell ref="B3:E3"/>
  </mergeCells>
  <phoneticPr fontId="6" type="noConversion"/>
  <pageMargins left="0.75" right="0.75" top="1" bottom="1" header="0.5" footer="0.5"/>
  <pageSetup orientation="portrait" horizontalDpi="300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66"/>
  <sheetViews>
    <sheetView zoomScale="160" zoomScaleNormal="160" workbookViewId="0">
      <selection activeCell="L6" sqref="L6:M90"/>
    </sheetView>
  </sheetViews>
  <sheetFormatPr defaultRowHeight="12.5" x14ac:dyDescent="0.25"/>
  <cols>
    <col min="1" max="1" width="9.453125" customWidth="1"/>
    <col min="7" max="7" width="9.1796875" customWidth="1"/>
  </cols>
  <sheetData>
    <row r="1" spans="1:13" ht="19" x14ac:dyDescent="0.8">
      <c r="A1" s="89" t="s">
        <v>425</v>
      </c>
      <c r="B1" s="89"/>
      <c r="C1" s="89"/>
      <c r="D1" s="89"/>
      <c r="E1" s="89"/>
      <c r="F1" s="89"/>
      <c r="G1" s="89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3.5" customHeight="1" x14ac:dyDescent="0.25">
      <c r="A3" s="258" t="s">
        <v>78</v>
      </c>
      <c r="B3" s="254" t="s">
        <v>387</v>
      </c>
      <c r="C3" s="248"/>
      <c r="D3" s="248"/>
      <c r="E3" s="248" t="s">
        <v>386</v>
      </c>
      <c r="F3" s="248"/>
      <c r="G3" s="249"/>
      <c r="H3" s="254" t="s">
        <v>385</v>
      </c>
      <c r="I3" s="248"/>
      <c r="J3" s="249"/>
      <c r="K3" s="255" t="s">
        <v>426</v>
      </c>
      <c r="L3" s="256"/>
      <c r="M3" s="257"/>
    </row>
    <row r="4" spans="1:13" ht="17" x14ac:dyDescent="0.25">
      <c r="A4" s="259"/>
      <c r="B4" s="65" t="s">
        <v>388</v>
      </c>
      <c r="C4" s="65" t="s">
        <v>389</v>
      </c>
      <c r="D4" s="65" t="s">
        <v>390</v>
      </c>
      <c r="E4" s="65" t="s">
        <v>388</v>
      </c>
      <c r="F4" s="65" t="s">
        <v>389</v>
      </c>
      <c r="G4" s="65" t="s">
        <v>390</v>
      </c>
      <c r="H4" s="65" t="s">
        <v>388</v>
      </c>
      <c r="I4" s="65" t="s">
        <v>389</v>
      </c>
      <c r="J4" s="65" t="s">
        <v>390</v>
      </c>
      <c r="K4" s="65" t="s">
        <v>391</v>
      </c>
      <c r="L4" s="65" t="s">
        <v>392</v>
      </c>
      <c r="M4" s="65" t="s">
        <v>393</v>
      </c>
    </row>
    <row r="5" spans="1:13" ht="17" x14ac:dyDescent="0.25">
      <c r="A5" s="137" t="s">
        <v>126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23">
        <v>1998</v>
      </c>
      <c r="B6" s="1"/>
      <c r="C6" s="1"/>
      <c r="D6" s="1"/>
      <c r="E6" s="1"/>
      <c r="F6" s="1"/>
      <c r="G6" s="1"/>
      <c r="H6" s="1"/>
      <c r="I6" s="1"/>
      <c r="J6" s="1"/>
      <c r="K6" s="1"/>
      <c r="L6" s="173">
        <v>31240</v>
      </c>
      <c r="M6" s="173">
        <v>14678</v>
      </c>
    </row>
    <row r="7" spans="1:13" x14ac:dyDescent="0.25">
      <c r="A7" s="23">
        <v>1999</v>
      </c>
      <c r="B7" s="1"/>
      <c r="C7" s="1"/>
      <c r="D7" s="1"/>
      <c r="E7" s="1"/>
      <c r="F7" s="1"/>
      <c r="G7" s="1"/>
      <c r="H7" s="1"/>
      <c r="I7" s="1"/>
      <c r="J7" s="1"/>
      <c r="K7" s="1"/>
      <c r="L7" s="173">
        <v>54804</v>
      </c>
      <c r="M7" s="173">
        <v>19868</v>
      </c>
    </row>
    <row r="8" spans="1:13" x14ac:dyDescent="0.25">
      <c r="A8" s="23">
        <v>2000</v>
      </c>
      <c r="B8" s="1"/>
      <c r="C8" s="1"/>
      <c r="D8" s="1"/>
      <c r="E8" s="1"/>
      <c r="F8" s="1"/>
      <c r="G8" s="1"/>
      <c r="H8" s="1"/>
      <c r="I8" s="1"/>
      <c r="J8" s="1"/>
      <c r="K8" s="1"/>
      <c r="L8" s="173">
        <v>28054</v>
      </c>
      <c r="M8" s="173">
        <v>16256</v>
      </c>
    </row>
    <row r="9" spans="1:13" x14ac:dyDescent="0.25">
      <c r="A9" s="23">
        <v>2001</v>
      </c>
      <c r="B9" s="1"/>
      <c r="C9" s="1"/>
      <c r="D9" s="1"/>
      <c r="E9" s="1"/>
      <c r="F9" s="1"/>
      <c r="G9" s="1"/>
      <c r="H9" s="1"/>
      <c r="I9" s="1"/>
      <c r="J9" s="1"/>
      <c r="K9" s="1"/>
      <c r="L9" s="173">
        <v>41246</v>
      </c>
      <c r="M9" s="173">
        <v>19749</v>
      </c>
    </row>
    <row r="10" spans="1:13" x14ac:dyDescent="0.25">
      <c r="A10" s="23">
        <v>2002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73">
        <v>52025</v>
      </c>
      <c r="M10" s="173">
        <v>18767</v>
      </c>
    </row>
    <row r="11" spans="1:13" x14ac:dyDescent="0.25">
      <c r="A11" s="23">
        <v>2003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73">
        <v>66442</v>
      </c>
      <c r="M11" s="173">
        <v>14360</v>
      </c>
    </row>
    <row r="12" spans="1:13" x14ac:dyDescent="0.25">
      <c r="A12" s="23">
        <v>2004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73">
        <v>67745</v>
      </c>
      <c r="M12" s="173">
        <v>18883</v>
      </c>
    </row>
    <row r="13" spans="1:13" x14ac:dyDescent="0.25">
      <c r="A13" s="23">
        <v>2005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73">
        <v>91310</v>
      </c>
      <c r="M13" s="173">
        <v>34174</v>
      </c>
    </row>
    <row r="14" spans="1:13" x14ac:dyDescent="0.25">
      <c r="A14" s="23">
        <v>2006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73">
        <v>92312</v>
      </c>
      <c r="M14" s="173">
        <v>43063</v>
      </c>
    </row>
    <row r="15" spans="1:13" x14ac:dyDescent="0.25">
      <c r="A15" s="23">
        <v>2007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73">
        <v>113192</v>
      </c>
      <c r="M15" s="173">
        <v>41964</v>
      </c>
    </row>
    <row r="16" spans="1:13" x14ac:dyDescent="0.25">
      <c r="A16" s="23">
        <v>2008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73">
        <v>126250</v>
      </c>
      <c r="M16" s="173">
        <v>55178</v>
      </c>
    </row>
    <row r="17" spans="1:13" x14ac:dyDescent="0.25">
      <c r="A17" s="23">
        <v>2009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73">
        <v>130519</v>
      </c>
      <c r="M17" s="173">
        <v>67377</v>
      </c>
    </row>
    <row r="18" spans="1:13" x14ac:dyDescent="0.25">
      <c r="A18" s="23">
        <v>2010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73">
        <v>132189</v>
      </c>
      <c r="M18" s="173">
        <v>87561</v>
      </c>
    </row>
    <row r="19" spans="1:13" x14ac:dyDescent="0.25">
      <c r="A19" s="23">
        <v>2011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73">
        <v>121101</v>
      </c>
      <c r="M19" s="173">
        <v>92236</v>
      </c>
    </row>
    <row r="20" spans="1:13" x14ac:dyDescent="0.25">
      <c r="A20" s="23">
        <v>2012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73">
        <v>109049</v>
      </c>
      <c r="M20" s="173">
        <v>96023</v>
      </c>
    </row>
    <row r="21" spans="1:13" x14ac:dyDescent="0.25">
      <c r="A21" s="23">
        <v>2013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73">
        <v>104708</v>
      </c>
      <c r="M21" s="173">
        <v>91370</v>
      </c>
    </row>
    <row r="22" spans="1:13" x14ac:dyDescent="0.25">
      <c r="A22" s="23">
        <v>2014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73">
        <v>109649</v>
      </c>
      <c r="M22" s="173">
        <v>33997</v>
      </c>
    </row>
    <row r="23" spans="1:13" x14ac:dyDescent="0.25">
      <c r="A23" s="23">
        <v>2015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73">
        <v>116004</v>
      </c>
      <c r="M23" s="174">
        <v>46560</v>
      </c>
    </row>
    <row r="24" spans="1:13" x14ac:dyDescent="0.25">
      <c r="A24" s="23">
        <v>2016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73">
        <v>118030</v>
      </c>
      <c r="M24" s="174">
        <v>55753</v>
      </c>
    </row>
    <row r="25" spans="1:13" x14ac:dyDescent="0.25">
      <c r="A25" s="23">
        <v>2017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73">
        <v>134119</v>
      </c>
      <c r="M25" s="174">
        <v>63668</v>
      </c>
    </row>
    <row r="26" spans="1:13" x14ac:dyDescent="0.25">
      <c r="A26" s="23">
        <v>2018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73">
        <v>141410</v>
      </c>
      <c r="M26" s="174">
        <v>76034</v>
      </c>
    </row>
    <row r="27" spans="1:13" x14ac:dyDescent="0.25">
      <c r="A27" s="23">
        <v>2019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73">
        <v>144365</v>
      </c>
      <c r="M27" s="174">
        <v>79052</v>
      </c>
    </row>
    <row r="28" spans="1:13" x14ac:dyDescent="0.25">
      <c r="A28" s="23">
        <v>2020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73">
        <v>164759</v>
      </c>
      <c r="M28" s="174">
        <v>121073</v>
      </c>
    </row>
    <row r="29" spans="1:13" x14ac:dyDescent="0.25">
      <c r="A29" s="23">
        <v>2021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73">
        <v>141056</v>
      </c>
      <c r="M29" s="174">
        <v>72016</v>
      </c>
    </row>
    <row r="30" spans="1:13" x14ac:dyDescent="0.25">
      <c r="A30" s="23">
        <v>2022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73">
        <v>153649</v>
      </c>
      <c r="M30" s="174">
        <v>90950</v>
      </c>
    </row>
    <row r="31" spans="1:13" x14ac:dyDescent="0.25">
      <c r="A31" s="23">
        <v>2023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73">
        <v>173216</v>
      </c>
      <c r="M31" s="174">
        <v>98460</v>
      </c>
    </row>
    <row r="32" spans="1:13" x14ac:dyDescent="0.25">
      <c r="A32" s="23">
        <v>2024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73">
        <v>175396</v>
      </c>
      <c r="M32" s="174">
        <v>106351</v>
      </c>
    </row>
    <row r="33" spans="1:13" x14ac:dyDescent="0.25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3"/>
    </row>
    <row r="34" spans="1:13" ht="17" x14ac:dyDescent="0.25">
      <c r="A34" s="125" t="s">
        <v>129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3"/>
    </row>
    <row r="35" spans="1:13" x14ac:dyDescent="0.25">
      <c r="A35" s="23">
        <v>1998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75"/>
      <c r="M35" s="173"/>
    </row>
    <row r="36" spans="1:13" x14ac:dyDescent="0.25">
      <c r="A36" s="23">
        <v>1999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75"/>
      <c r="M36" s="173"/>
    </row>
    <row r="37" spans="1:13" x14ac:dyDescent="0.25">
      <c r="A37" s="23">
        <v>2000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75"/>
      <c r="M37" s="173"/>
    </row>
    <row r="38" spans="1:13" x14ac:dyDescent="0.25">
      <c r="A38" s="23">
        <v>2001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75"/>
      <c r="M38" s="173"/>
    </row>
    <row r="39" spans="1:13" x14ac:dyDescent="0.25">
      <c r="A39" s="23">
        <v>2002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75"/>
      <c r="M39" s="173"/>
    </row>
    <row r="40" spans="1:13" x14ac:dyDescent="0.25">
      <c r="A40" s="23">
        <v>2003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75"/>
      <c r="M40" s="173"/>
    </row>
    <row r="41" spans="1:13" x14ac:dyDescent="0.25">
      <c r="A41" s="23">
        <v>2004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75"/>
      <c r="M41" s="173"/>
    </row>
    <row r="42" spans="1:13" x14ac:dyDescent="0.25">
      <c r="A42" s="23">
        <v>2005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75"/>
      <c r="M42" s="173"/>
    </row>
    <row r="43" spans="1:13" x14ac:dyDescent="0.25">
      <c r="A43" s="23">
        <v>2006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75"/>
      <c r="M43" s="173"/>
    </row>
    <row r="44" spans="1:13" x14ac:dyDescent="0.25">
      <c r="A44" s="23">
        <v>2007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75"/>
      <c r="M44" s="173"/>
    </row>
    <row r="45" spans="1:13" x14ac:dyDescent="0.25">
      <c r="A45" s="23">
        <v>2008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75"/>
      <c r="M45" s="173"/>
    </row>
    <row r="46" spans="1:13" x14ac:dyDescent="0.25">
      <c r="A46" s="23">
        <v>2009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75">
        <f>L17-L75</f>
        <v>68765</v>
      </c>
      <c r="M46" s="173"/>
    </row>
    <row r="47" spans="1:13" x14ac:dyDescent="0.25">
      <c r="A47" s="23">
        <v>2010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75">
        <f t="shared" ref="L47:L61" si="0">L18-L76</f>
        <v>69757</v>
      </c>
      <c r="M47" s="173"/>
    </row>
    <row r="48" spans="1:13" x14ac:dyDescent="0.25">
      <c r="A48" s="23">
        <v>2011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75">
        <f t="shared" si="0"/>
        <v>63457</v>
      </c>
      <c r="M48" s="173"/>
    </row>
    <row r="49" spans="1:13" x14ac:dyDescent="0.25">
      <c r="A49" s="23">
        <v>2012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75">
        <f t="shared" si="0"/>
        <v>55967</v>
      </c>
      <c r="M49" s="173"/>
    </row>
    <row r="50" spans="1:13" x14ac:dyDescent="0.25">
      <c r="A50" s="23">
        <v>2013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75">
        <f t="shared" si="0"/>
        <v>52822</v>
      </c>
      <c r="M50" s="173"/>
    </row>
    <row r="51" spans="1:13" x14ac:dyDescent="0.25">
      <c r="A51" s="23">
        <v>2014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75">
        <f t="shared" si="0"/>
        <v>53631</v>
      </c>
      <c r="M51" s="173"/>
    </row>
    <row r="52" spans="1:13" x14ac:dyDescent="0.25">
      <c r="A52" s="23">
        <v>2015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75">
        <f t="shared" si="0"/>
        <v>56120</v>
      </c>
      <c r="M52" s="174">
        <v>22540</v>
      </c>
    </row>
    <row r="53" spans="1:13" x14ac:dyDescent="0.25">
      <c r="A53" s="23">
        <v>2016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75">
        <f t="shared" si="0"/>
        <v>55729</v>
      </c>
      <c r="M53" s="174">
        <v>26937</v>
      </c>
    </row>
    <row r="54" spans="1:13" x14ac:dyDescent="0.25">
      <c r="A54" s="23">
        <v>2017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75">
        <f t="shared" si="0"/>
        <v>62407</v>
      </c>
      <c r="M54" s="174">
        <v>31068</v>
      </c>
    </row>
    <row r="55" spans="1:13" x14ac:dyDescent="0.25">
      <c r="A55" s="23">
        <v>2018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75">
        <f t="shared" si="0"/>
        <v>64344</v>
      </c>
      <c r="M55" s="174">
        <v>36196</v>
      </c>
    </row>
    <row r="56" spans="1:13" x14ac:dyDescent="0.25">
      <c r="A56" s="23">
        <v>2019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75">
        <f t="shared" si="0"/>
        <v>64465</v>
      </c>
      <c r="M56" s="174">
        <v>35324</v>
      </c>
    </row>
    <row r="57" spans="1:13" x14ac:dyDescent="0.25">
      <c r="A57" s="23">
        <v>2020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75">
        <f t="shared" si="0"/>
        <v>76684</v>
      </c>
      <c r="M57" s="174">
        <v>57183</v>
      </c>
    </row>
    <row r="58" spans="1:13" x14ac:dyDescent="0.25">
      <c r="A58" s="23">
        <v>2021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75">
        <f t="shared" si="0"/>
        <v>63561</v>
      </c>
      <c r="M58" s="174">
        <v>30268</v>
      </c>
    </row>
    <row r="59" spans="1:13" x14ac:dyDescent="0.25">
      <c r="A59" s="23">
        <v>2022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75">
        <f t="shared" si="0"/>
        <v>69368</v>
      </c>
      <c r="M59" s="174">
        <v>38438</v>
      </c>
    </row>
    <row r="60" spans="1:13" x14ac:dyDescent="0.25">
      <c r="A60" s="23">
        <v>2023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75">
        <f t="shared" si="0"/>
        <v>77820</v>
      </c>
      <c r="M60" s="174">
        <v>41968</v>
      </c>
    </row>
    <row r="61" spans="1:13" x14ac:dyDescent="0.25">
      <c r="A61" s="23">
        <v>2024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75">
        <f t="shared" si="0"/>
        <v>77940</v>
      </c>
      <c r="M61" s="174">
        <v>44821</v>
      </c>
    </row>
    <row r="62" spans="1:13" x14ac:dyDescent="0.25">
      <c r="A62" s="2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3"/>
    </row>
    <row r="63" spans="1:13" ht="17" x14ac:dyDescent="0.25">
      <c r="A63" s="125" t="s">
        <v>127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3"/>
    </row>
    <row r="64" spans="1:13" x14ac:dyDescent="0.25">
      <c r="A64" s="23">
        <v>1998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75"/>
      <c r="M64" s="173"/>
    </row>
    <row r="65" spans="1:13" x14ac:dyDescent="0.25">
      <c r="A65" s="23">
        <v>1999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75"/>
      <c r="M65" s="173"/>
    </row>
    <row r="66" spans="1:13" x14ac:dyDescent="0.25">
      <c r="A66" s="23">
        <v>2000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75"/>
      <c r="M66" s="173"/>
    </row>
    <row r="67" spans="1:13" x14ac:dyDescent="0.25">
      <c r="A67" s="23">
        <v>2001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75"/>
      <c r="M67" s="173"/>
    </row>
    <row r="68" spans="1:13" x14ac:dyDescent="0.25">
      <c r="A68" s="23">
        <v>2002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75"/>
      <c r="M68" s="173"/>
    </row>
    <row r="69" spans="1:13" x14ac:dyDescent="0.25">
      <c r="A69" s="23">
        <v>2003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75"/>
      <c r="M69" s="173"/>
    </row>
    <row r="70" spans="1:13" x14ac:dyDescent="0.25">
      <c r="A70" s="23">
        <v>2004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75"/>
      <c r="M70" s="173"/>
    </row>
    <row r="71" spans="1:13" x14ac:dyDescent="0.25">
      <c r="A71" s="23">
        <v>2005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75"/>
      <c r="M71" s="173"/>
    </row>
    <row r="72" spans="1:13" x14ac:dyDescent="0.25">
      <c r="A72" s="23">
        <v>2006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75"/>
      <c r="M72" s="173"/>
    </row>
    <row r="73" spans="1:13" x14ac:dyDescent="0.25">
      <c r="A73" s="23">
        <v>2007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75"/>
      <c r="M73" s="173"/>
    </row>
    <row r="74" spans="1:13" x14ac:dyDescent="0.25">
      <c r="A74" s="23">
        <v>2008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75"/>
      <c r="M74" s="173"/>
    </row>
    <row r="75" spans="1:13" x14ac:dyDescent="0.25">
      <c r="A75" s="23">
        <v>2009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75">
        <v>61754</v>
      </c>
      <c r="M75" s="173"/>
    </row>
    <row r="76" spans="1:13" x14ac:dyDescent="0.25">
      <c r="A76" s="23">
        <v>2010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75">
        <v>62432</v>
      </c>
      <c r="M76" s="173"/>
    </row>
    <row r="77" spans="1:13" x14ac:dyDescent="0.25">
      <c r="A77" s="23">
        <v>2011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75">
        <v>57644</v>
      </c>
      <c r="M77" s="173"/>
    </row>
    <row r="78" spans="1:13" x14ac:dyDescent="0.25">
      <c r="A78" s="23">
        <v>2012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75">
        <v>53082</v>
      </c>
      <c r="M78" s="173"/>
    </row>
    <row r="79" spans="1:13" x14ac:dyDescent="0.25">
      <c r="A79" s="23">
        <v>2013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75">
        <v>51886</v>
      </c>
      <c r="M79" s="173"/>
    </row>
    <row r="80" spans="1:13" x14ac:dyDescent="0.25">
      <c r="A80" s="23">
        <v>2014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75">
        <v>56018</v>
      </c>
      <c r="M80" s="173"/>
    </row>
    <row r="81" spans="1:13" x14ac:dyDescent="0.25">
      <c r="A81" s="23">
        <v>2015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75">
        <v>59884</v>
      </c>
      <c r="M81" s="174">
        <v>24020</v>
      </c>
    </row>
    <row r="82" spans="1:13" x14ac:dyDescent="0.25">
      <c r="A82" s="23">
        <v>2016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75">
        <v>62301</v>
      </c>
      <c r="M82" s="174">
        <v>28816</v>
      </c>
    </row>
    <row r="83" spans="1:13" x14ac:dyDescent="0.25">
      <c r="A83" s="23">
        <v>2017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75">
        <v>71712</v>
      </c>
      <c r="M83" s="174">
        <v>32600</v>
      </c>
    </row>
    <row r="84" spans="1:13" x14ac:dyDescent="0.25">
      <c r="A84" s="23">
        <v>2018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75">
        <v>77066</v>
      </c>
      <c r="M84" s="174">
        <v>39838</v>
      </c>
    </row>
    <row r="85" spans="1:13" x14ac:dyDescent="0.25">
      <c r="A85" s="23">
        <v>2019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75">
        <v>79900</v>
      </c>
      <c r="M85" s="174">
        <v>43728</v>
      </c>
    </row>
    <row r="86" spans="1:13" x14ac:dyDescent="0.25">
      <c r="A86" s="23">
        <v>2020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75">
        <v>88075</v>
      </c>
      <c r="M86" s="174">
        <v>63890</v>
      </c>
    </row>
    <row r="87" spans="1:13" x14ac:dyDescent="0.25">
      <c r="A87" s="23">
        <v>2021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75">
        <v>77495</v>
      </c>
      <c r="M87" s="174">
        <v>41748</v>
      </c>
    </row>
    <row r="88" spans="1:13" x14ac:dyDescent="0.25">
      <c r="A88" s="23">
        <v>2022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75">
        <v>84281</v>
      </c>
      <c r="M88" s="174">
        <v>52512</v>
      </c>
    </row>
    <row r="89" spans="1:13" x14ac:dyDescent="0.25">
      <c r="A89" s="23">
        <v>2023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75">
        <v>95396</v>
      </c>
      <c r="M89" s="174">
        <v>56492</v>
      </c>
    </row>
    <row r="90" spans="1:13" x14ac:dyDescent="0.25">
      <c r="A90" s="126">
        <v>2024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75">
        <v>97456</v>
      </c>
      <c r="M90" s="174">
        <v>61530</v>
      </c>
    </row>
    <row r="91" spans="1:13" x14ac:dyDescent="0.25">
      <c r="A91" s="124" t="s">
        <v>410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</sheetData>
  <mergeCells count="5">
    <mergeCell ref="B3:D3"/>
    <mergeCell ref="E3:G3"/>
    <mergeCell ref="H3:J3"/>
    <mergeCell ref="K3:M3"/>
    <mergeCell ref="A3:A4"/>
  </mergeCells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44"/>
  <sheetViews>
    <sheetView zoomScaleNormal="100" workbookViewId="0">
      <selection activeCell="K3" sqref="K3:M3"/>
    </sheetView>
  </sheetViews>
  <sheetFormatPr defaultRowHeight="12.5" x14ac:dyDescent="0.25"/>
  <cols>
    <col min="1" max="7" width="13.54296875" customWidth="1"/>
    <col min="8" max="8" width="14.54296875" customWidth="1"/>
    <col min="9" max="9" width="22.08984375" customWidth="1"/>
  </cols>
  <sheetData>
    <row r="1" spans="1:9" ht="28.25" customHeight="1" x14ac:dyDescent="1.05">
      <c r="A1" s="141" t="s">
        <v>433</v>
      </c>
      <c r="B1" s="142"/>
      <c r="C1" s="142"/>
      <c r="D1" s="142"/>
      <c r="E1" s="142"/>
      <c r="F1" s="142"/>
      <c r="G1" s="142"/>
      <c r="H1" s="142"/>
      <c r="I1" s="142"/>
    </row>
    <row r="2" spans="1:9" s="55" customFormat="1" ht="21" customHeight="1" x14ac:dyDescent="1.05">
      <c r="A2" s="261" t="s">
        <v>78</v>
      </c>
      <c r="B2" s="260" t="s">
        <v>145</v>
      </c>
      <c r="C2" s="260"/>
      <c r="D2" s="260"/>
      <c r="E2" s="262" t="s">
        <v>146</v>
      </c>
      <c r="F2" s="262"/>
      <c r="G2" s="262"/>
      <c r="H2" s="262"/>
      <c r="I2" s="141"/>
    </row>
    <row r="3" spans="1:9" s="55" customFormat="1" ht="54" customHeight="1" x14ac:dyDescent="1.05">
      <c r="A3" s="261"/>
      <c r="B3" s="145" t="s">
        <v>147</v>
      </c>
      <c r="C3" s="145" t="s">
        <v>434</v>
      </c>
      <c r="D3" s="145" t="s">
        <v>435</v>
      </c>
      <c r="E3" s="146" t="s">
        <v>147</v>
      </c>
      <c r="F3" s="146" t="s">
        <v>434</v>
      </c>
      <c r="G3" s="146" t="s">
        <v>435</v>
      </c>
      <c r="H3" s="147" t="s">
        <v>148</v>
      </c>
      <c r="I3" s="148" t="s">
        <v>436</v>
      </c>
    </row>
    <row r="4" spans="1:9" ht="25.5" x14ac:dyDescent="1.05">
      <c r="A4" s="149"/>
      <c r="B4" s="150"/>
      <c r="C4" s="150"/>
      <c r="D4" s="150"/>
      <c r="E4" s="150"/>
      <c r="F4" s="150"/>
      <c r="G4" s="150"/>
      <c r="H4" s="151"/>
      <c r="I4" s="142"/>
    </row>
    <row r="5" spans="1:9" s="139" customFormat="1" ht="19.75" customHeight="1" x14ac:dyDescent="0.25">
      <c r="A5" s="152" t="s">
        <v>126</v>
      </c>
      <c r="B5" s="153"/>
      <c r="C5" s="153"/>
      <c r="D5" s="153"/>
      <c r="E5" s="154"/>
      <c r="F5" s="154"/>
      <c r="G5" s="154"/>
      <c r="H5" s="154"/>
      <c r="I5" s="155"/>
    </row>
    <row r="6" spans="1:9" s="139" customFormat="1" ht="19.75" customHeight="1" x14ac:dyDescent="0.25">
      <c r="A6" s="156" t="s">
        <v>67</v>
      </c>
      <c r="B6" s="154"/>
      <c r="C6" s="154"/>
      <c r="D6" s="154"/>
      <c r="E6" s="154"/>
      <c r="F6" s="154"/>
      <c r="G6" s="154"/>
      <c r="H6" s="154"/>
      <c r="I6" s="155"/>
    </row>
    <row r="7" spans="1:9" s="139" customFormat="1" ht="19.75" customHeight="1" x14ac:dyDescent="0.25">
      <c r="A7" s="156" t="s">
        <v>68</v>
      </c>
      <c r="B7" s="154"/>
      <c r="C7" s="154"/>
      <c r="D7" s="154"/>
      <c r="E7" s="154"/>
      <c r="F7" s="154"/>
      <c r="G7" s="154"/>
      <c r="H7" s="154"/>
      <c r="I7" s="155"/>
    </row>
    <row r="8" spans="1:9" s="139" customFormat="1" ht="19.75" customHeight="1" x14ac:dyDescent="0.25">
      <c r="A8" s="156" t="s">
        <v>69</v>
      </c>
      <c r="B8" s="154"/>
      <c r="C8" s="154"/>
      <c r="D8" s="154"/>
      <c r="E8" s="154"/>
      <c r="F8" s="154"/>
      <c r="G8" s="154"/>
      <c r="H8" s="154"/>
      <c r="I8" s="155"/>
    </row>
    <row r="9" spans="1:9" s="139" customFormat="1" ht="19.75" customHeight="1" x14ac:dyDescent="0.25">
      <c r="A9" s="156" t="s">
        <v>70</v>
      </c>
      <c r="B9" s="154"/>
      <c r="C9" s="154"/>
      <c r="D9" s="154"/>
      <c r="E9" s="154"/>
      <c r="F9" s="154"/>
      <c r="G9" s="154"/>
      <c r="H9" s="154"/>
      <c r="I9" s="155"/>
    </row>
    <row r="10" spans="1:9" s="139" customFormat="1" ht="19.75" customHeight="1" x14ac:dyDescent="0.25">
      <c r="A10" s="156" t="s">
        <v>71</v>
      </c>
      <c r="B10" s="154"/>
      <c r="C10" s="154"/>
      <c r="D10" s="154"/>
      <c r="E10" s="154"/>
      <c r="F10" s="154"/>
      <c r="G10" s="154"/>
      <c r="H10" s="154"/>
      <c r="I10" s="155"/>
    </row>
    <row r="11" spans="1:9" s="139" customFormat="1" ht="19.75" customHeight="1" x14ac:dyDescent="0.25">
      <c r="A11" s="156" t="s">
        <v>72</v>
      </c>
      <c r="B11" s="154"/>
      <c r="C11" s="154"/>
      <c r="D11" s="154"/>
      <c r="E11" s="154"/>
      <c r="F11" s="154"/>
      <c r="G11" s="154"/>
      <c r="H11" s="154"/>
      <c r="I11" s="155"/>
    </row>
    <row r="12" spans="1:9" s="139" customFormat="1" ht="19.75" customHeight="1" x14ac:dyDescent="0.25">
      <c r="A12" s="156" t="s">
        <v>73</v>
      </c>
      <c r="B12" s="154"/>
      <c r="C12" s="154"/>
      <c r="D12" s="154"/>
      <c r="E12" s="154"/>
      <c r="F12" s="154"/>
      <c r="G12" s="154"/>
      <c r="H12" s="154"/>
      <c r="I12" s="155"/>
    </row>
    <row r="13" spans="1:9" s="139" customFormat="1" ht="19.75" customHeight="1" x14ac:dyDescent="0.25">
      <c r="A13" s="156" t="s">
        <v>74</v>
      </c>
      <c r="B13" s="154"/>
      <c r="C13" s="154"/>
      <c r="D13" s="154"/>
      <c r="E13" s="154"/>
      <c r="F13" s="154"/>
      <c r="G13" s="154"/>
      <c r="H13" s="154"/>
      <c r="I13" s="155"/>
    </row>
    <row r="14" spans="1:9" s="139" customFormat="1" ht="19.75" customHeight="1" x14ac:dyDescent="0.25">
      <c r="A14" s="156" t="s">
        <v>75</v>
      </c>
      <c r="B14" s="154"/>
      <c r="C14" s="154"/>
      <c r="D14" s="154"/>
      <c r="E14" s="154"/>
      <c r="F14" s="154"/>
      <c r="G14" s="154"/>
      <c r="H14" s="154"/>
      <c r="I14" s="155"/>
    </row>
    <row r="15" spans="1:9" s="139" customFormat="1" ht="19.75" customHeight="1" x14ac:dyDescent="0.25">
      <c r="A15" s="156" t="s">
        <v>76</v>
      </c>
      <c r="B15" s="154"/>
      <c r="C15" s="154"/>
      <c r="D15" s="154"/>
      <c r="E15" s="154"/>
      <c r="F15" s="154"/>
      <c r="G15" s="154"/>
      <c r="H15" s="154"/>
      <c r="I15" s="155"/>
    </row>
    <row r="16" spans="1:9" s="139" customFormat="1" ht="19.75" customHeight="1" x14ac:dyDescent="0.25">
      <c r="A16" s="156" t="s">
        <v>77</v>
      </c>
      <c r="B16" s="154"/>
      <c r="C16" s="154"/>
      <c r="D16" s="154"/>
      <c r="E16" s="154"/>
      <c r="F16" s="154"/>
      <c r="G16" s="154"/>
      <c r="H16" s="154"/>
      <c r="I16" s="155"/>
    </row>
    <row r="17" spans="1:9" s="139" customFormat="1" ht="19.75" customHeight="1" x14ac:dyDescent="0.25">
      <c r="A17" s="156"/>
      <c r="B17" s="154"/>
      <c r="C17" s="154"/>
      <c r="D17" s="154"/>
      <c r="E17" s="154"/>
      <c r="F17" s="154"/>
      <c r="G17" s="154"/>
      <c r="H17" s="154"/>
      <c r="I17" s="155"/>
    </row>
    <row r="18" spans="1:9" s="139" customFormat="1" ht="19.75" customHeight="1" x14ac:dyDescent="0.25">
      <c r="A18" s="152" t="s">
        <v>129</v>
      </c>
      <c r="B18" s="154"/>
      <c r="C18" s="154"/>
      <c r="D18" s="154"/>
      <c r="E18" s="154"/>
      <c r="F18" s="154"/>
      <c r="G18" s="154"/>
      <c r="H18" s="154"/>
      <c r="I18" s="155"/>
    </row>
    <row r="19" spans="1:9" s="139" customFormat="1" ht="19.75" customHeight="1" x14ac:dyDescent="0.25">
      <c r="A19" s="156" t="s">
        <v>67</v>
      </c>
      <c r="B19" s="154"/>
      <c r="C19" s="154"/>
      <c r="D19" s="154"/>
      <c r="E19" s="154"/>
      <c r="F19" s="154"/>
      <c r="G19" s="154"/>
      <c r="H19" s="154"/>
      <c r="I19" s="155"/>
    </row>
    <row r="20" spans="1:9" s="139" customFormat="1" ht="19.75" customHeight="1" x14ac:dyDescent="0.25">
      <c r="A20" s="156" t="s">
        <v>68</v>
      </c>
      <c r="B20" s="154"/>
      <c r="C20" s="154"/>
      <c r="D20" s="154"/>
      <c r="E20" s="154"/>
      <c r="F20" s="154"/>
      <c r="G20" s="154"/>
      <c r="H20" s="154"/>
      <c r="I20" s="155"/>
    </row>
    <row r="21" spans="1:9" s="139" customFormat="1" ht="19.75" customHeight="1" x14ac:dyDescent="0.25">
      <c r="A21" s="156" t="s">
        <v>69</v>
      </c>
      <c r="B21" s="154"/>
      <c r="C21" s="154"/>
      <c r="D21" s="154"/>
      <c r="E21" s="154"/>
      <c r="F21" s="154"/>
      <c r="G21" s="154"/>
      <c r="H21" s="154"/>
      <c r="I21" s="155"/>
    </row>
    <row r="22" spans="1:9" s="139" customFormat="1" ht="19.75" customHeight="1" x14ac:dyDescent="0.25">
      <c r="A22" s="156" t="s">
        <v>70</v>
      </c>
      <c r="B22" s="154"/>
      <c r="C22" s="154"/>
      <c r="D22" s="154"/>
      <c r="E22" s="154"/>
      <c r="F22" s="154"/>
      <c r="G22" s="154"/>
      <c r="H22" s="154"/>
      <c r="I22" s="155"/>
    </row>
    <row r="23" spans="1:9" s="139" customFormat="1" ht="19.75" customHeight="1" x14ac:dyDescent="0.25">
      <c r="A23" s="156" t="s">
        <v>71</v>
      </c>
      <c r="B23" s="154"/>
      <c r="C23" s="154"/>
      <c r="D23" s="154"/>
      <c r="E23" s="154"/>
      <c r="F23" s="154"/>
      <c r="G23" s="154"/>
      <c r="H23" s="154"/>
      <c r="I23" s="155"/>
    </row>
    <row r="24" spans="1:9" s="139" customFormat="1" ht="19.75" customHeight="1" x14ac:dyDescent="0.25">
      <c r="A24" s="156" t="s">
        <v>72</v>
      </c>
      <c r="B24" s="154"/>
      <c r="C24" s="154"/>
      <c r="D24" s="154"/>
      <c r="E24" s="154"/>
      <c r="F24" s="154"/>
      <c r="G24" s="154"/>
      <c r="H24" s="154"/>
      <c r="I24" s="155"/>
    </row>
    <row r="25" spans="1:9" s="139" customFormat="1" ht="19.75" customHeight="1" x14ac:dyDescent="0.25">
      <c r="A25" s="156" t="s">
        <v>73</v>
      </c>
      <c r="B25" s="154"/>
      <c r="C25" s="154"/>
      <c r="D25" s="154"/>
      <c r="E25" s="154"/>
      <c r="F25" s="154"/>
      <c r="G25" s="154"/>
      <c r="H25" s="154"/>
      <c r="I25" s="155"/>
    </row>
    <row r="26" spans="1:9" s="139" customFormat="1" ht="19.75" customHeight="1" x14ac:dyDescent="0.25">
      <c r="A26" s="156" t="s">
        <v>74</v>
      </c>
      <c r="B26" s="154"/>
      <c r="C26" s="154"/>
      <c r="D26" s="154"/>
      <c r="E26" s="154"/>
      <c r="F26" s="154"/>
      <c r="G26" s="154"/>
      <c r="H26" s="154"/>
      <c r="I26" s="155"/>
    </row>
    <row r="27" spans="1:9" s="139" customFormat="1" ht="19.75" customHeight="1" x14ac:dyDescent="0.25">
      <c r="A27" s="156" t="s">
        <v>75</v>
      </c>
      <c r="B27" s="154"/>
      <c r="C27" s="154"/>
      <c r="D27" s="154"/>
      <c r="E27" s="154"/>
      <c r="F27" s="154"/>
      <c r="G27" s="154"/>
      <c r="H27" s="154"/>
      <c r="I27" s="155"/>
    </row>
    <row r="28" spans="1:9" s="139" customFormat="1" ht="19.75" customHeight="1" x14ac:dyDescent="0.25">
      <c r="A28" s="156" t="s">
        <v>76</v>
      </c>
      <c r="B28" s="154"/>
      <c r="C28" s="154"/>
      <c r="D28" s="154"/>
      <c r="E28" s="154"/>
      <c r="F28" s="154"/>
      <c r="G28" s="154"/>
      <c r="H28" s="154"/>
      <c r="I28" s="155"/>
    </row>
    <row r="29" spans="1:9" s="139" customFormat="1" ht="19.75" customHeight="1" x14ac:dyDescent="0.25">
      <c r="A29" s="156" t="s">
        <v>77</v>
      </c>
      <c r="B29" s="154"/>
      <c r="C29" s="154"/>
      <c r="D29" s="154"/>
      <c r="E29" s="154"/>
      <c r="F29" s="154"/>
      <c r="G29" s="154"/>
      <c r="H29" s="154"/>
      <c r="I29" s="155"/>
    </row>
    <row r="30" spans="1:9" s="139" customFormat="1" ht="19.75" customHeight="1" x14ac:dyDescent="0.25">
      <c r="A30" s="156"/>
      <c r="B30" s="154"/>
      <c r="C30" s="154"/>
      <c r="D30" s="154"/>
      <c r="E30" s="154"/>
      <c r="F30" s="154"/>
      <c r="G30" s="154"/>
      <c r="H30" s="154"/>
      <c r="I30" s="155"/>
    </row>
    <row r="31" spans="1:9" s="139" customFormat="1" ht="19.75" customHeight="1" x14ac:dyDescent="0.25">
      <c r="A31" s="152" t="s">
        <v>127</v>
      </c>
      <c r="B31" s="154"/>
      <c r="C31" s="154"/>
      <c r="D31" s="154"/>
      <c r="E31" s="154"/>
      <c r="F31" s="154"/>
      <c r="G31" s="154"/>
      <c r="H31" s="154"/>
      <c r="I31" s="155"/>
    </row>
    <row r="32" spans="1:9" s="139" customFormat="1" ht="19.75" customHeight="1" x14ac:dyDescent="0.25">
      <c r="A32" s="156" t="s">
        <v>67</v>
      </c>
      <c r="B32" s="154"/>
      <c r="C32" s="154"/>
      <c r="D32" s="154"/>
      <c r="E32" s="154"/>
      <c r="F32" s="154"/>
      <c r="G32" s="154"/>
      <c r="H32" s="154"/>
      <c r="I32" s="155"/>
    </row>
    <row r="33" spans="1:9" s="139" customFormat="1" ht="19.75" customHeight="1" x14ac:dyDescent="0.25">
      <c r="A33" s="156" t="s">
        <v>68</v>
      </c>
      <c r="B33" s="154"/>
      <c r="C33" s="154"/>
      <c r="D33" s="154"/>
      <c r="E33" s="154"/>
      <c r="F33" s="154"/>
      <c r="G33" s="154"/>
      <c r="H33" s="154"/>
      <c r="I33" s="155"/>
    </row>
    <row r="34" spans="1:9" s="139" customFormat="1" ht="19.75" customHeight="1" x14ac:dyDescent="0.25">
      <c r="A34" s="156" t="s">
        <v>69</v>
      </c>
      <c r="B34" s="154"/>
      <c r="C34" s="154"/>
      <c r="D34" s="154"/>
      <c r="E34" s="154"/>
      <c r="F34" s="154"/>
      <c r="G34" s="154"/>
      <c r="H34" s="154"/>
      <c r="I34" s="155"/>
    </row>
    <row r="35" spans="1:9" s="139" customFormat="1" ht="19.75" customHeight="1" x14ac:dyDescent="0.25">
      <c r="A35" s="156" t="s">
        <v>70</v>
      </c>
      <c r="B35" s="154"/>
      <c r="C35" s="154"/>
      <c r="D35" s="154"/>
      <c r="E35" s="154"/>
      <c r="F35" s="154"/>
      <c r="G35" s="154"/>
      <c r="H35" s="154"/>
      <c r="I35" s="155"/>
    </row>
    <row r="36" spans="1:9" s="139" customFormat="1" ht="19.75" customHeight="1" x14ac:dyDescent="0.25">
      <c r="A36" s="156" t="s">
        <v>71</v>
      </c>
      <c r="B36" s="154"/>
      <c r="C36" s="154"/>
      <c r="D36" s="154"/>
      <c r="E36" s="154"/>
      <c r="F36" s="154"/>
      <c r="G36" s="154"/>
      <c r="H36" s="154"/>
      <c r="I36" s="155"/>
    </row>
    <row r="37" spans="1:9" s="139" customFormat="1" ht="19.75" customHeight="1" x14ac:dyDescent="0.25">
      <c r="A37" s="156" t="s">
        <v>72</v>
      </c>
      <c r="B37" s="154"/>
      <c r="C37" s="154"/>
      <c r="D37" s="154"/>
      <c r="E37" s="154"/>
      <c r="F37" s="154"/>
      <c r="G37" s="154"/>
      <c r="H37" s="154"/>
      <c r="I37" s="155"/>
    </row>
    <row r="38" spans="1:9" s="139" customFormat="1" ht="19.75" customHeight="1" x14ac:dyDescent="0.25">
      <c r="A38" s="156" t="s">
        <v>73</v>
      </c>
      <c r="B38" s="154"/>
      <c r="C38" s="154"/>
      <c r="D38" s="154"/>
      <c r="E38" s="154"/>
      <c r="F38" s="154"/>
      <c r="G38" s="154"/>
      <c r="H38" s="154"/>
      <c r="I38" s="155"/>
    </row>
    <row r="39" spans="1:9" s="139" customFormat="1" ht="19.75" customHeight="1" x14ac:dyDescent="0.25">
      <c r="A39" s="156" t="s">
        <v>74</v>
      </c>
      <c r="B39" s="154"/>
      <c r="C39" s="154"/>
      <c r="D39" s="154"/>
      <c r="E39" s="154"/>
      <c r="F39" s="154"/>
      <c r="G39" s="154"/>
      <c r="H39" s="154"/>
      <c r="I39" s="155"/>
    </row>
    <row r="40" spans="1:9" s="139" customFormat="1" ht="19.75" customHeight="1" x14ac:dyDescent="0.25">
      <c r="A40" s="156" t="s">
        <v>75</v>
      </c>
      <c r="B40" s="154"/>
      <c r="C40" s="154"/>
      <c r="D40" s="154"/>
      <c r="E40" s="154"/>
      <c r="F40" s="154"/>
      <c r="G40" s="154"/>
      <c r="H40" s="154"/>
      <c r="I40" s="155"/>
    </row>
    <row r="41" spans="1:9" s="139" customFormat="1" ht="19.75" customHeight="1" x14ac:dyDescent="0.25">
      <c r="A41" s="156" t="s">
        <v>76</v>
      </c>
      <c r="B41" s="154"/>
      <c r="C41" s="154"/>
      <c r="D41" s="154"/>
      <c r="E41" s="154"/>
      <c r="F41" s="154"/>
      <c r="G41" s="154"/>
      <c r="H41" s="154"/>
      <c r="I41" s="155"/>
    </row>
    <row r="42" spans="1:9" s="139" customFormat="1" ht="19.75" customHeight="1" x14ac:dyDescent="0.25">
      <c r="A42" s="156" t="s">
        <v>77</v>
      </c>
      <c r="B42" s="154"/>
      <c r="C42" s="154"/>
      <c r="D42" s="154"/>
      <c r="E42" s="154"/>
      <c r="F42" s="154"/>
      <c r="G42" s="154"/>
      <c r="H42" s="154"/>
      <c r="I42" s="155"/>
    </row>
    <row r="43" spans="1:9" s="139" customFormat="1" ht="19.75" customHeight="1" x14ac:dyDescent="0.25">
      <c r="A43" s="157" t="s">
        <v>437</v>
      </c>
      <c r="B43" s="155"/>
      <c r="C43" s="155"/>
      <c r="D43" s="155"/>
      <c r="E43" s="155"/>
      <c r="F43" s="155"/>
      <c r="G43" s="155"/>
      <c r="H43" s="155"/>
      <c r="I43" s="155"/>
    </row>
    <row r="44" spans="1:9" s="139" customFormat="1" ht="19.75" customHeight="1" x14ac:dyDescent="0.25"/>
  </sheetData>
  <mergeCells count="3">
    <mergeCell ref="B2:D2"/>
    <mergeCell ref="A2:A3"/>
    <mergeCell ref="E2:H2"/>
  </mergeCells>
  <phoneticPr fontId="5" type="noConversion"/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41"/>
  <sheetViews>
    <sheetView zoomScale="96" zoomScaleNormal="96" workbookViewId="0">
      <selection activeCell="K3" sqref="K3:M3"/>
    </sheetView>
  </sheetViews>
  <sheetFormatPr defaultRowHeight="12.5" x14ac:dyDescent="0.25"/>
  <cols>
    <col min="1" max="1" width="18.54296875" customWidth="1"/>
    <col min="2" max="3" width="8" customWidth="1"/>
    <col min="4" max="23" width="6.54296875" customWidth="1"/>
  </cols>
  <sheetData>
    <row r="1" spans="1:23" s="97" customFormat="1" ht="28.25" customHeight="1" x14ac:dyDescent="0.35">
      <c r="A1" s="158" t="s">
        <v>438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s="73" customFormat="1" ht="21" customHeight="1" x14ac:dyDescent="0.8">
      <c r="A2" s="261" t="s">
        <v>149</v>
      </c>
      <c r="B2" s="261" t="s">
        <v>67</v>
      </c>
      <c r="C2" s="261"/>
      <c r="D2" s="261" t="s">
        <v>68</v>
      </c>
      <c r="E2" s="261"/>
      <c r="F2" s="261" t="s">
        <v>69</v>
      </c>
      <c r="G2" s="261"/>
      <c r="H2" s="261" t="s">
        <v>70</v>
      </c>
      <c r="I2" s="261"/>
      <c r="J2" s="261" t="s">
        <v>71</v>
      </c>
      <c r="K2" s="261"/>
      <c r="L2" s="261" t="s">
        <v>72</v>
      </c>
      <c r="M2" s="261"/>
      <c r="N2" s="261" t="s">
        <v>73</v>
      </c>
      <c r="O2" s="261"/>
      <c r="P2" s="261" t="s">
        <v>74</v>
      </c>
      <c r="Q2" s="261"/>
      <c r="R2" s="261" t="s">
        <v>75</v>
      </c>
      <c r="S2" s="261"/>
      <c r="T2" s="261" t="s">
        <v>76</v>
      </c>
      <c r="U2" s="261"/>
      <c r="V2" s="261" t="s">
        <v>77</v>
      </c>
      <c r="W2" s="261"/>
    </row>
    <row r="3" spans="1:23" s="73" customFormat="1" ht="25.5" customHeight="1" x14ac:dyDescent="0.8">
      <c r="A3" s="261"/>
      <c r="B3" s="159" t="s">
        <v>83</v>
      </c>
      <c r="C3" s="159" t="s">
        <v>127</v>
      </c>
      <c r="D3" s="159" t="s">
        <v>83</v>
      </c>
      <c r="E3" s="159" t="s">
        <v>127</v>
      </c>
      <c r="F3" s="159" t="s">
        <v>83</v>
      </c>
      <c r="G3" s="159" t="s">
        <v>127</v>
      </c>
      <c r="H3" s="159" t="s">
        <v>83</v>
      </c>
      <c r="I3" s="159" t="s">
        <v>127</v>
      </c>
      <c r="J3" s="159" t="s">
        <v>83</v>
      </c>
      <c r="K3" s="159" t="s">
        <v>127</v>
      </c>
      <c r="L3" s="159" t="s">
        <v>83</v>
      </c>
      <c r="M3" s="159" t="s">
        <v>127</v>
      </c>
      <c r="N3" s="159" t="s">
        <v>83</v>
      </c>
      <c r="O3" s="159" t="s">
        <v>127</v>
      </c>
      <c r="P3" s="159" t="s">
        <v>83</v>
      </c>
      <c r="Q3" s="159" t="s">
        <v>127</v>
      </c>
      <c r="R3" s="159" t="s">
        <v>83</v>
      </c>
      <c r="S3" s="159" t="s">
        <v>127</v>
      </c>
      <c r="T3" s="159" t="s">
        <v>83</v>
      </c>
      <c r="U3" s="159" t="s">
        <v>127</v>
      </c>
      <c r="V3" s="159" t="s">
        <v>83</v>
      </c>
      <c r="W3" s="159" t="s">
        <v>127</v>
      </c>
    </row>
    <row r="4" spans="1:23" ht="25.5" x14ac:dyDescent="1.05">
      <c r="A4" s="149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 ht="25.25" customHeight="1" x14ac:dyDescent="1.05">
      <c r="A5" s="160" t="s">
        <v>151</v>
      </c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17.25" customHeight="1" x14ac:dyDescent="0.35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 spans="1:23" ht="17.25" customHeight="1" x14ac:dyDescent="0.3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 spans="1:23" ht="17.25" customHeight="1" x14ac:dyDescent="0.3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1:23" ht="17.25" customHeight="1" x14ac:dyDescent="0.3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 spans="1:23" ht="17.25" customHeight="1" x14ac:dyDescent="0.3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 spans="1:23" ht="17.25" customHeight="1" x14ac:dyDescent="0.35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 spans="1:23" ht="17.25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 spans="1:23" ht="17.25" customHeight="1" x14ac:dyDescent="0.3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 spans="1:23" ht="17.25" customHeight="1" x14ac:dyDescent="0.3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 spans="1:23" ht="17.25" customHeight="1" x14ac:dyDescent="0.3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 spans="1:23" ht="17.25" customHeight="1" x14ac:dyDescent="0.35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 spans="1:23" ht="17.25" customHeight="1" x14ac:dyDescent="0.35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 spans="1:23" ht="17.25" customHeight="1" x14ac:dyDescent="1">
      <c r="A18" s="160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 spans="1:23" ht="19.5" customHeight="1" x14ac:dyDescent="0.3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 spans="1:23" ht="19.5" customHeight="1" x14ac:dyDescent="0.35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 spans="1:23" ht="25.75" customHeight="1" x14ac:dyDescent="1">
      <c r="A21" s="160" t="s">
        <v>150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 spans="1:23" ht="19.5" customHeight="1" x14ac:dyDescent="0.3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 spans="1:23" ht="19.5" customHeight="1" x14ac:dyDescent="0.35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 spans="1:23" ht="19.5" customHeight="1" x14ac:dyDescent="0.35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 spans="1:23" ht="19.5" customHeight="1" x14ac:dyDescent="0.35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 spans="1:23" ht="19.5" customHeight="1" x14ac:dyDescent="0.35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 spans="1:23" ht="19.5" customHeight="1" x14ac:dyDescent="0.35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 spans="1:23" ht="19.5" customHeight="1" x14ac:dyDescent="0.3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 spans="1:23" ht="19.5" customHeight="1" x14ac:dyDescent="0.3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 spans="1:23" ht="15.5" x14ac:dyDescent="0.3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 spans="1:23" ht="24.5" x14ac:dyDescent="1">
      <c r="A31" s="16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 spans="1:23" ht="21" customHeight="1" x14ac:dyDescent="0.3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 spans="1:23" ht="21" customHeight="1" x14ac:dyDescent="0.35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 spans="1:23" ht="21" customHeight="1" x14ac:dyDescent="0.35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 spans="1:23" ht="21" customHeight="1" x14ac:dyDescent="0.3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 spans="1:23" ht="21" customHeight="1" x14ac:dyDescent="0.3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 spans="1:23" ht="21" customHeight="1" x14ac:dyDescent="1">
      <c r="A37" s="161" t="s">
        <v>83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 spans="1:23" ht="21" customHeight="1" x14ac:dyDescent="0.35">
      <c r="A38" s="162" t="s">
        <v>437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ht="21" customHeight="1" x14ac:dyDescent="0.25"/>
    <row r="40" spans="1:23" ht="21" customHeight="1" x14ac:dyDescent="0.25">
      <c r="A40" s="9"/>
    </row>
    <row r="41" spans="1:23" ht="21" customHeight="1" x14ac:dyDescent="0.25">
      <c r="A41" s="9"/>
    </row>
  </sheetData>
  <mergeCells count="12">
    <mergeCell ref="V2:W2"/>
    <mergeCell ref="H2:I2"/>
    <mergeCell ref="J2:K2"/>
    <mergeCell ref="L2:M2"/>
    <mergeCell ref="N2:O2"/>
    <mergeCell ref="P2:Q2"/>
    <mergeCell ref="R2:S2"/>
    <mergeCell ref="A2:A3"/>
    <mergeCell ref="B2:C2"/>
    <mergeCell ref="D2:E2"/>
    <mergeCell ref="F2:G2"/>
    <mergeCell ref="T2:U2"/>
  </mergeCells>
  <phoneticPr fontId="5" type="noConversion"/>
  <pageMargins left="0.5" right="0.3" top="0.75" bottom="0.75" header="0.3" footer="0.3"/>
  <pageSetup paperSize="9" scale="85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42"/>
  <sheetViews>
    <sheetView zoomScaleNormal="100" workbookViewId="0">
      <selection activeCell="K3" sqref="K3:M3"/>
    </sheetView>
  </sheetViews>
  <sheetFormatPr defaultRowHeight="12.5" x14ac:dyDescent="0.25"/>
  <cols>
    <col min="1" max="1" width="18.54296875" customWidth="1"/>
    <col min="2" max="3" width="8" customWidth="1"/>
    <col min="4" max="23" width="6.54296875" customWidth="1"/>
  </cols>
  <sheetData>
    <row r="1" spans="1:23" s="97" customFormat="1" ht="25.5" x14ac:dyDescent="1.05">
      <c r="A1" s="141" t="s">
        <v>439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s="73" customFormat="1" ht="25.5" x14ac:dyDescent="1.05">
      <c r="A2" s="261" t="s">
        <v>149</v>
      </c>
      <c r="B2" s="260" t="s">
        <v>67</v>
      </c>
      <c r="C2" s="260"/>
      <c r="D2" s="260" t="s">
        <v>68</v>
      </c>
      <c r="E2" s="260"/>
      <c r="F2" s="260" t="s">
        <v>69</v>
      </c>
      <c r="G2" s="260"/>
      <c r="H2" s="260" t="s">
        <v>70</v>
      </c>
      <c r="I2" s="260"/>
      <c r="J2" s="260" t="s">
        <v>71</v>
      </c>
      <c r="K2" s="260"/>
      <c r="L2" s="260" t="s">
        <v>72</v>
      </c>
      <c r="M2" s="260"/>
      <c r="N2" s="260" t="s">
        <v>73</v>
      </c>
      <c r="O2" s="260"/>
      <c r="P2" s="260" t="s">
        <v>74</v>
      </c>
      <c r="Q2" s="260"/>
      <c r="R2" s="260" t="s">
        <v>75</v>
      </c>
      <c r="S2" s="260"/>
      <c r="T2" s="260" t="s">
        <v>76</v>
      </c>
      <c r="U2" s="260"/>
      <c r="V2" s="260" t="s">
        <v>77</v>
      </c>
      <c r="W2" s="260"/>
    </row>
    <row r="3" spans="1:23" s="73" customFormat="1" ht="25.5" x14ac:dyDescent="0.8">
      <c r="A3" s="261"/>
      <c r="B3" s="159" t="s">
        <v>83</v>
      </c>
      <c r="C3" s="159" t="s">
        <v>127</v>
      </c>
      <c r="D3" s="159" t="s">
        <v>83</v>
      </c>
      <c r="E3" s="159" t="s">
        <v>127</v>
      </c>
      <c r="F3" s="159" t="s">
        <v>83</v>
      </c>
      <c r="G3" s="159" t="s">
        <v>127</v>
      </c>
      <c r="H3" s="159" t="s">
        <v>83</v>
      </c>
      <c r="I3" s="159" t="s">
        <v>127</v>
      </c>
      <c r="J3" s="159" t="s">
        <v>83</v>
      </c>
      <c r="K3" s="159" t="s">
        <v>127</v>
      </c>
      <c r="L3" s="159" t="s">
        <v>83</v>
      </c>
      <c r="M3" s="159" t="s">
        <v>127</v>
      </c>
      <c r="N3" s="159" t="s">
        <v>83</v>
      </c>
      <c r="O3" s="159" t="s">
        <v>127</v>
      </c>
      <c r="P3" s="159" t="s">
        <v>83</v>
      </c>
      <c r="Q3" s="159" t="s">
        <v>127</v>
      </c>
      <c r="R3" s="159" t="s">
        <v>83</v>
      </c>
      <c r="S3" s="159" t="s">
        <v>127</v>
      </c>
      <c r="T3" s="159" t="s">
        <v>83</v>
      </c>
      <c r="U3" s="159" t="s">
        <v>127</v>
      </c>
      <c r="V3" s="159" t="s">
        <v>83</v>
      </c>
      <c r="W3" s="159" t="s">
        <v>127</v>
      </c>
    </row>
    <row r="4" spans="1:23" ht="25.5" x14ac:dyDescent="1.05">
      <c r="A4" s="149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 ht="25.5" x14ac:dyDescent="1.05">
      <c r="A5" s="160" t="s">
        <v>151</v>
      </c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17.25" customHeight="1" x14ac:dyDescent="0.35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 spans="1:23" ht="17.25" customHeight="1" x14ac:dyDescent="0.3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 spans="1:23" ht="17.25" customHeight="1" x14ac:dyDescent="0.3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1:23" ht="17.25" customHeight="1" x14ac:dyDescent="0.3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 spans="1:23" ht="17.25" customHeight="1" x14ac:dyDescent="0.3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 spans="1:23" ht="17.25" customHeight="1" x14ac:dyDescent="0.35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 spans="1:23" ht="17.25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 spans="1:23" ht="17.25" customHeight="1" x14ac:dyDescent="0.3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 spans="1:23" ht="17.25" customHeight="1" x14ac:dyDescent="0.3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 spans="1:23" ht="17.25" customHeight="1" x14ac:dyDescent="0.3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 spans="1:23" ht="17.25" customHeight="1" x14ac:dyDescent="0.35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 spans="1:23" ht="17.25" customHeight="1" x14ac:dyDescent="0.35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 spans="1:23" ht="17.25" customHeight="1" x14ac:dyDescent="1">
      <c r="A18" s="160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 spans="1:23" ht="19.5" customHeight="1" x14ac:dyDescent="0.3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 spans="1:23" ht="19.5" customHeight="1" x14ac:dyDescent="0.35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 spans="1:23" ht="24.5" x14ac:dyDescent="1">
      <c r="A21" s="160" t="s">
        <v>150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 spans="1:23" ht="19.5" customHeight="1" x14ac:dyDescent="0.3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 spans="1:23" ht="19.5" customHeight="1" x14ac:dyDescent="0.35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 spans="1:23" ht="19.5" customHeight="1" x14ac:dyDescent="0.35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 spans="1:23" ht="19.5" customHeight="1" x14ac:dyDescent="0.35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 spans="1:23" ht="19.5" customHeight="1" x14ac:dyDescent="0.35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 spans="1:23" ht="19.5" customHeight="1" x14ac:dyDescent="0.35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 spans="1:23" ht="19.5" customHeight="1" x14ac:dyDescent="0.3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 spans="1:23" ht="19.5" customHeight="1" x14ac:dyDescent="0.3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 spans="1:23" ht="15.5" x14ac:dyDescent="0.3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 spans="1:23" ht="24.5" x14ac:dyDescent="1">
      <c r="A31" s="16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 spans="1:23" ht="21" customHeight="1" x14ac:dyDescent="0.3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 spans="1:23" ht="21" customHeight="1" x14ac:dyDescent="0.35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 spans="1:23" ht="21" customHeight="1" x14ac:dyDescent="0.35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 spans="1:23" ht="21" customHeight="1" x14ac:dyDescent="0.3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 spans="1:23" ht="21" customHeight="1" x14ac:dyDescent="0.3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 spans="1:23" ht="21" customHeight="1" x14ac:dyDescent="1">
      <c r="A37" s="161" t="s">
        <v>83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 spans="1:23" ht="21" customHeight="1" x14ac:dyDescent="0.35">
      <c r="A38" s="162" t="s">
        <v>437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ht="21" customHeight="1" x14ac:dyDescent="0.25"/>
    <row r="40" spans="1:23" ht="21" customHeight="1" x14ac:dyDescent="0.25">
      <c r="A40" s="9"/>
    </row>
    <row r="41" spans="1:23" ht="21" customHeight="1" x14ac:dyDescent="0.25">
      <c r="A41" s="9"/>
    </row>
    <row r="42" spans="1:23" ht="21" customHeight="1" x14ac:dyDescent="0.25">
      <c r="A42" s="9"/>
    </row>
  </sheetData>
  <mergeCells count="12">
    <mergeCell ref="V2:W2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5" right="0.3" top="0.75" bottom="0.75" header="0.3" footer="0.3"/>
  <pageSetup paperSize="9" scale="85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42"/>
  <sheetViews>
    <sheetView zoomScaleNormal="100" workbookViewId="0">
      <selection activeCell="K3" sqref="K3:M3"/>
    </sheetView>
  </sheetViews>
  <sheetFormatPr defaultRowHeight="12.5" x14ac:dyDescent="0.25"/>
  <cols>
    <col min="1" max="1" width="18.54296875" customWidth="1"/>
    <col min="2" max="3" width="8" customWidth="1"/>
    <col min="4" max="23" width="6.54296875" customWidth="1"/>
  </cols>
  <sheetData>
    <row r="1" spans="1:23" s="140" customFormat="1" ht="31.75" customHeight="1" x14ac:dyDescent="0.25">
      <c r="A1" s="158" t="s">
        <v>440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</row>
    <row r="2" spans="1:23" s="73" customFormat="1" ht="25.5" x14ac:dyDescent="1.05">
      <c r="A2" s="261" t="s">
        <v>149</v>
      </c>
      <c r="B2" s="260" t="s">
        <v>67</v>
      </c>
      <c r="C2" s="260"/>
      <c r="D2" s="260" t="s">
        <v>68</v>
      </c>
      <c r="E2" s="260"/>
      <c r="F2" s="260" t="s">
        <v>69</v>
      </c>
      <c r="G2" s="260"/>
      <c r="H2" s="260" t="s">
        <v>70</v>
      </c>
      <c r="I2" s="260"/>
      <c r="J2" s="260" t="s">
        <v>71</v>
      </c>
      <c r="K2" s="260"/>
      <c r="L2" s="260" t="s">
        <v>72</v>
      </c>
      <c r="M2" s="260"/>
      <c r="N2" s="260" t="s">
        <v>73</v>
      </c>
      <c r="O2" s="260"/>
      <c r="P2" s="260" t="s">
        <v>74</v>
      </c>
      <c r="Q2" s="260"/>
      <c r="R2" s="260" t="s">
        <v>75</v>
      </c>
      <c r="S2" s="260"/>
      <c r="T2" s="260" t="s">
        <v>76</v>
      </c>
      <c r="U2" s="260"/>
      <c r="V2" s="260" t="s">
        <v>77</v>
      </c>
      <c r="W2" s="260"/>
    </row>
    <row r="3" spans="1:23" s="73" customFormat="1" ht="25.5" x14ac:dyDescent="0.8">
      <c r="A3" s="261"/>
      <c r="B3" s="159" t="s">
        <v>83</v>
      </c>
      <c r="C3" s="159" t="s">
        <v>127</v>
      </c>
      <c r="D3" s="159" t="s">
        <v>83</v>
      </c>
      <c r="E3" s="159" t="s">
        <v>127</v>
      </c>
      <c r="F3" s="159" t="s">
        <v>83</v>
      </c>
      <c r="G3" s="159" t="s">
        <v>127</v>
      </c>
      <c r="H3" s="159" t="s">
        <v>83</v>
      </c>
      <c r="I3" s="159" t="s">
        <v>127</v>
      </c>
      <c r="J3" s="159" t="s">
        <v>83</v>
      </c>
      <c r="K3" s="159" t="s">
        <v>127</v>
      </c>
      <c r="L3" s="159" t="s">
        <v>83</v>
      </c>
      <c r="M3" s="159" t="s">
        <v>127</v>
      </c>
      <c r="N3" s="159" t="s">
        <v>83</v>
      </c>
      <c r="O3" s="159" t="s">
        <v>127</v>
      </c>
      <c r="P3" s="159" t="s">
        <v>83</v>
      </c>
      <c r="Q3" s="159" t="s">
        <v>127</v>
      </c>
      <c r="R3" s="159" t="s">
        <v>83</v>
      </c>
      <c r="S3" s="159" t="s">
        <v>127</v>
      </c>
      <c r="T3" s="159" t="s">
        <v>83</v>
      </c>
      <c r="U3" s="159" t="s">
        <v>127</v>
      </c>
      <c r="V3" s="159" t="s">
        <v>83</v>
      </c>
      <c r="W3" s="159" t="s">
        <v>127</v>
      </c>
    </row>
    <row r="4" spans="1:23" ht="25.5" x14ac:dyDescent="1.05">
      <c r="A4" s="149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 ht="25.5" x14ac:dyDescent="1.05">
      <c r="A5" s="160" t="s">
        <v>151</v>
      </c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17.25" customHeight="1" x14ac:dyDescent="0.35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 spans="1:23" ht="17.25" customHeight="1" x14ac:dyDescent="0.3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 spans="1:23" ht="17.25" customHeight="1" x14ac:dyDescent="0.3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1:23" ht="17.25" customHeight="1" x14ac:dyDescent="0.3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 spans="1:23" ht="17.25" customHeight="1" x14ac:dyDescent="0.3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 spans="1:23" ht="17.25" customHeight="1" x14ac:dyDescent="0.35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 spans="1:23" ht="17.25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 spans="1:23" ht="17.25" customHeight="1" x14ac:dyDescent="0.3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 spans="1:23" ht="17.25" customHeight="1" x14ac:dyDescent="0.3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 spans="1:23" ht="17.25" customHeight="1" x14ac:dyDescent="0.3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 spans="1:23" ht="17.25" customHeight="1" x14ac:dyDescent="0.35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 spans="1:23" ht="17.25" customHeight="1" x14ac:dyDescent="0.35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 spans="1:23" ht="17.25" customHeight="1" x14ac:dyDescent="1">
      <c r="A18" s="160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 spans="1:23" ht="19.5" customHeight="1" x14ac:dyDescent="0.3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 spans="1:23" ht="19.5" customHeight="1" x14ac:dyDescent="0.35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 spans="1:23" ht="24.5" x14ac:dyDescent="1">
      <c r="A21" s="160" t="s">
        <v>150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 spans="1:23" ht="19.5" customHeight="1" x14ac:dyDescent="0.3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 spans="1:23" ht="19.5" customHeight="1" x14ac:dyDescent="0.35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 spans="1:23" ht="19.5" customHeight="1" x14ac:dyDescent="0.35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 spans="1:23" ht="19.5" customHeight="1" x14ac:dyDescent="0.35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 spans="1:23" ht="19.5" customHeight="1" x14ac:dyDescent="0.35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 spans="1:23" ht="19.5" customHeight="1" x14ac:dyDescent="0.35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 spans="1:23" ht="19.5" customHeight="1" x14ac:dyDescent="0.3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 spans="1:23" ht="19.5" customHeight="1" x14ac:dyDescent="0.3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 spans="1:23" ht="15.5" x14ac:dyDescent="0.3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 spans="1:23" ht="24.5" x14ac:dyDescent="1">
      <c r="A31" s="16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 spans="1:23" ht="21" customHeight="1" x14ac:dyDescent="0.3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 spans="1:23" ht="21" customHeight="1" x14ac:dyDescent="0.35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 spans="1:23" ht="21" customHeight="1" x14ac:dyDescent="0.35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 spans="1:23" ht="21" customHeight="1" x14ac:dyDescent="0.3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 spans="1:23" ht="21" customHeight="1" x14ac:dyDescent="0.3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 spans="1:23" ht="21" customHeight="1" x14ac:dyDescent="1">
      <c r="A37" s="161" t="s">
        <v>83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 spans="1:23" ht="22.75" customHeight="1" x14ac:dyDescent="0.35">
      <c r="A38" s="162" t="s">
        <v>437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ht="21" customHeight="1" x14ac:dyDescent="0.25"/>
    <row r="40" spans="1:23" ht="21" customHeight="1" x14ac:dyDescent="0.25">
      <c r="A40" s="9"/>
    </row>
    <row r="41" spans="1:23" ht="21" customHeight="1" x14ac:dyDescent="0.25">
      <c r="A41" s="9"/>
    </row>
    <row r="42" spans="1:23" ht="21" customHeight="1" x14ac:dyDescent="0.25">
      <c r="A42" s="9"/>
    </row>
  </sheetData>
  <mergeCells count="12">
    <mergeCell ref="V2:W2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5" right="0.3" top="0.75" bottom="0.75" header="0.3" footer="0.3"/>
  <pageSetup paperSize="9" scale="85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42"/>
  <sheetViews>
    <sheetView zoomScale="107" zoomScaleNormal="107" workbookViewId="0">
      <selection activeCell="K3" sqref="K3:M3"/>
    </sheetView>
  </sheetViews>
  <sheetFormatPr defaultRowHeight="12.5" x14ac:dyDescent="0.25"/>
  <cols>
    <col min="1" max="1" width="18.54296875" customWidth="1"/>
    <col min="2" max="3" width="8" customWidth="1"/>
    <col min="4" max="23" width="6.54296875" customWidth="1"/>
  </cols>
  <sheetData>
    <row r="1" spans="1:23" s="97" customFormat="1" ht="34.25" customHeight="1" x14ac:dyDescent="1.05">
      <c r="A1" s="141" t="s">
        <v>441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s="73" customFormat="1" ht="25.5" x14ac:dyDescent="1.05">
      <c r="A2" s="143" t="s">
        <v>149</v>
      </c>
      <c r="B2" s="144" t="s">
        <v>67</v>
      </c>
      <c r="C2" s="144"/>
      <c r="D2" s="144" t="s">
        <v>68</v>
      </c>
      <c r="E2" s="144"/>
      <c r="F2" s="144" t="s">
        <v>69</v>
      </c>
      <c r="G2" s="144"/>
      <c r="H2" s="144" t="s">
        <v>70</v>
      </c>
      <c r="I2" s="144"/>
      <c r="J2" s="144" t="s">
        <v>71</v>
      </c>
      <c r="K2" s="144"/>
      <c r="L2" s="144" t="s">
        <v>72</v>
      </c>
      <c r="M2" s="144"/>
      <c r="N2" s="144" t="s">
        <v>73</v>
      </c>
      <c r="O2" s="144"/>
      <c r="P2" s="144" t="s">
        <v>74</v>
      </c>
      <c r="Q2" s="144"/>
      <c r="R2" s="144" t="s">
        <v>75</v>
      </c>
      <c r="S2" s="144"/>
      <c r="T2" s="144" t="s">
        <v>76</v>
      </c>
      <c r="U2" s="144"/>
      <c r="V2" s="144" t="s">
        <v>77</v>
      </c>
      <c r="W2" s="144"/>
    </row>
    <row r="3" spans="1:23" s="73" customFormat="1" ht="25.5" x14ac:dyDescent="0.8">
      <c r="A3" s="143"/>
      <c r="B3" s="159" t="s">
        <v>83</v>
      </c>
      <c r="C3" s="159" t="s">
        <v>127</v>
      </c>
      <c r="D3" s="159" t="s">
        <v>83</v>
      </c>
      <c r="E3" s="159" t="s">
        <v>127</v>
      </c>
      <c r="F3" s="159" t="s">
        <v>83</v>
      </c>
      <c r="G3" s="159" t="s">
        <v>127</v>
      </c>
      <c r="H3" s="159" t="s">
        <v>83</v>
      </c>
      <c r="I3" s="159" t="s">
        <v>127</v>
      </c>
      <c r="J3" s="159" t="s">
        <v>83</v>
      </c>
      <c r="K3" s="159" t="s">
        <v>127</v>
      </c>
      <c r="L3" s="159" t="s">
        <v>83</v>
      </c>
      <c r="M3" s="159" t="s">
        <v>127</v>
      </c>
      <c r="N3" s="159" t="s">
        <v>83</v>
      </c>
      <c r="O3" s="159" t="s">
        <v>127</v>
      </c>
      <c r="P3" s="159" t="s">
        <v>83</v>
      </c>
      <c r="Q3" s="159" t="s">
        <v>127</v>
      </c>
      <c r="R3" s="159" t="s">
        <v>83</v>
      </c>
      <c r="S3" s="159" t="s">
        <v>127</v>
      </c>
      <c r="T3" s="159" t="s">
        <v>83</v>
      </c>
      <c r="U3" s="159" t="s">
        <v>127</v>
      </c>
      <c r="V3" s="159" t="s">
        <v>83</v>
      </c>
      <c r="W3" s="159" t="s">
        <v>127</v>
      </c>
    </row>
    <row r="4" spans="1:23" ht="25.5" x14ac:dyDescent="1.05">
      <c r="A4" s="149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 ht="25.5" x14ac:dyDescent="1.05">
      <c r="A5" s="160" t="s">
        <v>151</v>
      </c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17.25" customHeight="1" x14ac:dyDescent="0.35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 spans="1:23" ht="17.25" customHeight="1" x14ac:dyDescent="0.3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 spans="1:23" ht="17.25" customHeight="1" x14ac:dyDescent="0.3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1:23" ht="17.25" customHeight="1" x14ac:dyDescent="0.3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 spans="1:23" ht="17.25" customHeight="1" x14ac:dyDescent="0.3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 spans="1:23" ht="17.25" customHeight="1" x14ac:dyDescent="0.35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 spans="1:23" ht="17.25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 t="s">
        <v>444</v>
      </c>
      <c r="R12" s="151"/>
      <c r="S12" s="151"/>
      <c r="T12" s="151"/>
      <c r="U12" s="151"/>
      <c r="V12" s="151"/>
      <c r="W12" s="151"/>
    </row>
    <row r="13" spans="1:23" ht="17.25" customHeight="1" x14ac:dyDescent="0.3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 spans="1:23" ht="17.25" customHeight="1" x14ac:dyDescent="0.3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 spans="1:23" ht="17.25" customHeight="1" x14ac:dyDescent="0.3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 spans="1:23" ht="17.25" customHeight="1" x14ac:dyDescent="0.35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 spans="1:23" ht="17.25" customHeight="1" x14ac:dyDescent="0.35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 spans="1:23" ht="17.25" customHeight="1" x14ac:dyDescent="1">
      <c r="A18" s="160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 spans="1:23" ht="19.5" customHeight="1" x14ac:dyDescent="0.3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 spans="1:23" ht="19.5" customHeight="1" x14ac:dyDescent="0.35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 spans="1:23" ht="24.5" x14ac:dyDescent="1">
      <c r="A21" s="160" t="s">
        <v>150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 spans="1:23" ht="19.5" customHeight="1" x14ac:dyDescent="0.3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 spans="1:23" ht="19.5" customHeight="1" x14ac:dyDescent="0.35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 spans="1:23" ht="19.5" customHeight="1" x14ac:dyDescent="0.35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 spans="1:23" ht="19.5" customHeight="1" x14ac:dyDescent="0.35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 spans="1:23" ht="19.5" customHeight="1" x14ac:dyDescent="0.35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 spans="1:23" ht="19.5" customHeight="1" x14ac:dyDescent="0.35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 spans="1:23" ht="19.5" customHeight="1" x14ac:dyDescent="0.3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 spans="1:23" ht="19.5" customHeight="1" x14ac:dyDescent="0.3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 spans="1:23" ht="15.5" x14ac:dyDescent="0.3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 spans="1:23" ht="24.5" x14ac:dyDescent="1">
      <c r="A31" s="16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 spans="1:23" ht="21" customHeight="1" x14ac:dyDescent="0.3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 spans="1:23" ht="21" customHeight="1" x14ac:dyDescent="0.35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 spans="1:23" ht="21" customHeight="1" x14ac:dyDescent="0.35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 spans="1:23" ht="21" customHeight="1" x14ac:dyDescent="0.3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 spans="1:23" ht="21" customHeight="1" x14ac:dyDescent="0.3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 spans="1:23" ht="21" customHeight="1" x14ac:dyDescent="1">
      <c r="A37" s="161" t="s">
        <v>83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 spans="1:23" ht="21" customHeight="1" x14ac:dyDescent="0.35">
      <c r="A38" s="162" t="s">
        <v>437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ht="21" customHeight="1" x14ac:dyDescent="0.25"/>
    <row r="40" spans="1:23" ht="21" customHeight="1" x14ac:dyDescent="0.25">
      <c r="A40" s="9"/>
    </row>
    <row r="41" spans="1:23" ht="21" customHeight="1" x14ac:dyDescent="0.25"/>
    <row r="42" spans="1:23" ht="21" customHeight="1" x14ac:dyDescent="0.25">
      <c r="A42" s="9"/>
    </row>
  </sheetData>
  <pageMargins left="0.5" right="0.3" top="0.75" bottom="0.75" header="0.3" footer="0.3"/>
  <pageSetup paperSize="9" scale="85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0"/>
  <sheetViews>
    <sheetView zoomScale="115" zoomScaleNormal="115" workbookViewId="0">
      <selection activeCell="K3" sqref="K3:M3"/>
    </sheetView>
  </sheetViews>
  <sheetFormatPr defaultRowHeight="12.5" x14ac:dyDescent="0.25"/>
  <cols>
    <col min="1" max="1" width="27.453125" customWidth="1"/>
    <col min="12" max="12" width="10.36328125" customWidth="1"/>
  </cols>
  <sheetData>
    <row r="1" spans="1:12" s="139" customFormat="1" ht="27.65" customHeight="1" x14ac:dyDescent="0.25">
      <c r="A1" s="163" t="s">
        <v>443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2" ht="25.5" x14ac:dyDescent="0.25">
      <c r="A2" s="164" t="s">
        <v>396</v>
      </c>
      <c r="B2" s="164">
        <v>2014</v>
      </c>
      <c r="C2" s="164">
        <v>2015</v>
      </c>
      <c r="D2" s="164">
        <v>2016</v>
      </c>
      <c r="E2" s="164">
        <v>2017</v>
      </c>
      <c r="F2" s="164">
        <v>2018</v>
      </c>
      <c r="G2" s="164">
        <v>2019</v>
      </c>
      <c r="H2" s="164">
        <v>2020</v>
      </c>
      <c r="I2" s="164">
        <v>2021</v>
      </c>
      <c r="J2" s="164">
        <v>2022</v>
      </c>
      <c r="K2" s="164">
        <v>2023</v>
      </c>
      <c r="L2" s="164">
        <v>2024</v>
      </c>
    </row>
    <row r="3" spans="1:12" ht="24.5" x14ac:dyDescent="1">
      <c r="A3" s="165" t="s">
        <v>397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ht="15.5" x14ac:dyDescent="0.35">
      <c r="A4" s="167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15.5" x14ac:dyDescent="0.35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</row>
    <row r="6" spans="1:12" ht="15.5" x14ac:dyDescent="0.35">
      <c r="A6" s="167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</row>
    <row r="7" spans="1:12" ht="15.5" x14ac:dyDescent="0.35">
      <c r="A7" s="167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15.5" x14ac:dyDescent="0.35">
      <c r="A8" s="168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</row>
    <row r="9" spans="1:12" ht="15.5" x14ac:dyDescent="0.35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</row>
    <row r="10" spans="1:12" ht="15.5" x14ac:dyDescent="0.35">
      <c r="A10" s="166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</row>
    <row r="11" spans="1:12" ht="15.5" x14ac:dyDescent="0.35">
      <c r="A11" s="166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</row>
    <row r="12" spans="1:12" ht="15.5" x14ac:dyDescent="0.35">
      <c r="A12" s="166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</row>
    <row r="13" spans="1:12" ht="15.5" x14ac:dyDescent="0.35">
      <c r="A13" s="166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</row>
    <row r="14" spans="1:12" ht="15.5" x14ac:dyDescent="0.35">
      <c r="A14" s="166"/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</row>
    <row r="15" spans="1:12" ht="15.5" x14ac:dyDescent="0.35">
      <c r="A15" s="166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</row>
    <row r="16" spans="1:12" ht="15.5" x14ac:dyDescent="0.35">
      <c r="A16" s="166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</row>
    <row r="17" spans="1:12" ht="15.5" x14ac:dyDescent="0.35">
      <c r="A17" s="166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</row>
    <row r="18" spans="1:12" ht="15.5" x14ac:dyDescent="0.35">
      <c r="A18" s="166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</row>
    <row r="19" spans="1:12" ht="15.5" x14ac:dyDescent="0.35">
      <c r="A19" s="166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</row>
    <row r="20" spans="1:12" ht="15.5" x14ac:dyDescent="0.35">
      <c r="A20" s="166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</row>
    <row r="21" spans="1:12" ht="15.5" x14ac:dyDescent="0.35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</row>
    <row r="22" spans="1:12" ht="15.5" x14ac:dyDescent="0.35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</row>
    <row r="23" spans="1:12" ht="15.5" x14ac:dyDescent="0.35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</row>
    <row r="24" spans="1:12" ht="15.5" x14ac:dyDescent="0.35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</row>
    <row r="25" spans="1:12" ht="15.5" x14ac:dyDescent="0.3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</row>
    <row r="26" spans="1:12" ht="15.5" x14ac:dyDescent="0.35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</row>
    <row r="27" spans="1:12" ht="15.5" x14ac:dyDescent="0.35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</row>
    <row r="28" spans="1:12" ht="15.5" x14ac:dyDescent="0.35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</row>
    <row r="29" spans="1:12" ht="15.5" x14ac:dyDescent="0.35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</row>
    <row r="30" spans="1:12" ht="17.399999999999999" customHeight="1" x14ac:dyDescent="0.35">
      <c r="A30" s="162" t="s">
        <v>437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</row>
  </sheetData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0"/>
  <sheetViews>
    <sheetView zoomScaleNormal="100" workbookViewId="0">
      <selection activeCell="K3" sqref="K3:M3"/>
    </sheetView>
  </sheetViews>
  <sheetFormatPr defaultRowHeight="12.5" x14ac:dyDescent="0.25"/>
  <cols>
    <col min="1" max="1" width="27.453125" customWidth="1"/>
  </cols>
  <sheetData>
    <row r="1" spans="1:12" ht="31.25" customHeight="1" x14ac:dyDescent="0.35">
      <c r="A1" s="163" t="s">
        <v>442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ht="25.5" x14ac:dyDescent="0.25">
      <c r="A2" s="164" t="s">
        <v>396</v>
      </c>
      <c r="B2" s="164">
        <v>2014</v>
      </c>
      <c r="C2" s="164">
        <v>2015</v>
      </c>
      <c r="D2" s="164">
        <v>2016</v>
      </c>
      <c r="E2" s="164">
        <v>2017</v>
      </c>
      <c r="F2" s="164">
        <v>2018</v>
      </c>
      <c r="G2" s="164">
        <v>2019</v>
      </c>
      <c r="H2" s="164">
        <v>2020</v>
      </c>
      <c r="I2" s="164">
        <v>2021</v>
      </c>
      <c r="J2" s="164">
        <v>2022</v>
      </c>
      <c r="K2" s="164">
        <v>2023</v>
      </c>
      <c r="L2" s="164">
        <v>2024</v>
      </c>
    </row>
    <row r="3" spans="1:12" ht="24.5" x14ac:dyDescent="1">
      <c r="A3" s="165" t="s">
        <v>397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ht="15.65" customHeight="1" x14ac:dyDescent="0.35">
      <c r="A4" s="167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15.65" customHeight="1" x14ac:dyDescent="0.35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</row>
    <row r="6" spans="1:12" ht="15.65" customHeight="1" x14ac:dyDescent="0.35">
      <c r="A6" s="167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</row>
    <row r="7" spans="1:12" ht="15.65" customHeight="1" x14ac:dyDescent="0.35">
      <c r="A7" s="167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15.65" customHeight="1" x14ac:dyDescent="0.35">
      <c r="A8" s="168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</row>
    <row r="9" spans="1:12" ht="15.65" customHeight="1" x14ac:dyDescent="0.35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</row>
    <row r="10" spans="1:12" ht="15.65" customHeight="1" x14ac:dyDescent="0.35">
      <c r="A10" s="166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</row>
    <row r="11" spans="1:12" ht="15.65" customHeight="1" x14ac:dyDescent="0.35">
      <c r="A11" s="166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</row>
    <row r="12" spans="1:12" ht="15.65" customHeight="1" x14ac:dyDescent="0.35">
      <c r="A12" s="166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</row>
    <row r="13" spans="1:12" ht="15.65" customHeight="1" x14ac:dyDescent="0.35">
      <c r="A13" s="166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</row>
    <row r="14" spans="1:12" ht="15.65" customHeight="1" x14ac:dyDescent="0.35">
      <c r="A14" s="166"/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</row>
    <row r="15" spans="1:12" ht="15.65" customHeight="1" x14ac:dyDescent="0.35">
      <c r="A15" s="166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</row>
    <row r="16" spans="1:12" ht="15.65" customHeight="1" x14ac:dyDescent="0.35">
      <c r="A16" s="166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</row>
    <row r="17" spans="1:12" ht="15.65" customHeight="1" x14ac:dyDescent="0.35">
      <c r="A17" s="166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</row>
    <row r="18" spans="1:12" ht="15.65" customHeight="1" x14ac:dyDescent="0.35">
      <c r="A18" s="166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</row>
    <row r="19" spans="1:12" ht="15.65" customHeight="1" x14ac:dyDescent="0.35">
      <c r="A19" s="166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</row>
    <row r="20" spans="1:12" ht="15.65" customHeight="1" x14ac:dyDescent="0.35">
      <c r="A20" s="166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</row>
    <row r="21" spans="1:12" ht="15.65" customHeight="1" x14ac:dyDescent="0.35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</row>
    <row r="22" spans="1:12" ht="15.65" customHeight="1" x14ac:dyDescent="0.35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</row>
    <row r="23" spans="1:12" ht="15.65" customHeight="1" x14ac:dyDescent="0.35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</row>
    <row r="24" spans="1:12" ht="15.65" customHeight="1" x14ac:dyDescent="0.35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</row>
    <row r="25" spans="1:12" ht="15.65" customHeight="1" x14ac:dyDescent="0.3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</row>
    <row r="26" spans="1:12" ht="15.65" customHeight="1" x14ac:dyDescent="0.35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</row>
    <row r="27" spans="1:12" ht="15.65" customHeight="1" x14ac:dyDescent="0.35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</row>
    <row r="28" spans="1:12" ht="15.65" customHeight="1" x14ac:dyDescent="0.35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</row>
    <row r="29" spans="1:12" ht="15.65" customHeight="1" x14ac:dyDescent="0.35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</row>
    <row r="30" spans="1:12" s="139" customFormat="1" ht="22.25" customHeight="1" x14ac:dyDescent="0.25">
      <c r="A30" s="157" t="s">
        <v>437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</row>
  </sheetData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89"/>
  <sheetViews>
    <sheetView topLeftCell="A72" zoomScale="175" zoomScaleNormal="175" workbookViewId="0">
      <selection activeCell="E32" sqref="E32"/>
    </sheetView>
  </sheetViews>
  <sheetFormatPr defaultColWidth="9.1796875" defaultRowHeight="17" x14ac:dyDescent="0.7"/>
  <cols>
    <col min="1" max="1" width="2.453125" style="74" customWidth="1"/>
    <col min="2" max="2" width="5" style="74" customWidth="1"/>
    <col min="3" max="3" width="5.453125" style="74" customWidth="1"/>
    <col min="4" max="4" width="35" style="74" customWidth="1"/>
    <col min="5" max="14" width="9.1796875" style="74"/>
    <col min="15" max="15" width="2.453125" style="74" customWidth="1"/>
    <col min="16" max="16" width="9.1796875" style="74"/>
    <col min="17" max="17" width="2.453125" style="74" customWidth="1"/>
    <col min="18" max="16384" width="9.1796875" style="74"/>
  </cols>
  <sheetData>
    <row r="1" spans="1:17" s="55" customFormat="1" ht="19.5" customHeight="1" x14ac:dyDescent="0.85">
      <c r="A1" s="55" t="s">
        <v>399</v>
      </c>
    </row>
    <row r="2" spans="1:17" ht="20" x14ac:dyDescent="0.7">
      <c r="N2" s="267" t="s">
        <v>335</v>
      </c>
      <c r="O2" s="267"/>
      <c r="P2" s="267"/>
    </row>
    <row r="3" spans="1:17" x14ac:dyDescent="0.7">
      <c r="A3" s="289" t="s">
        <v>152</v>
      </c>
      <c r="B3" s="289" t="s">
        <v>153</v>
      </c>
      <c r="C3" s="289" t="s">
        <v>154</v>
      </c>
      <c r="D3" s="279" t="s">
        <v>155</v>
      </c>
      <c r="E3" s="279" t="s">
        <v>156</v>
      </c>
      <c r="F3" s="282" t="s">
        <v>157</v>
      </c>
      <c r="G3" s="288"/>
      <c r="H3" s="288"/>
      <c r="I3" s="288"/>
      <c r="J3" s="283"/>
      <c r="K3" s="279" t="s">
        <v>158</v>
      </c>
      <c r="L3" s="279" t="s">
        <v>159</v>
      </c>
      <c r="M3" s="279" t="s">
        <v>160</v>
      </c>
      <c r="N3" s="282" t="s">
        <v>161</v>
      </c>
      <c r="O3" s="283"/>
      <c r="P3" s="282" t="s">
        <v>162</v>
      </c>
      <c r="Q3" s="283"/>
    </row>
    <row r="4" spans="1:17" x14ac:dyDescent="0.7">
      <c r="A4" s="290"/>
      <c r="B4" s="290"/>
      <c r="C4" s="290"/>
      <c r="D4" s="280"/>
      <c r="E4" s="280"/>
      <c r="F4" s="284"/>
      <c r="G4" s="291"/>
      <c r="H4" s="291"/>
      <c r="I4" s="291"/>
      <c r="J4" s="285"/>
      <c r="K4" s="280"/>
      <c r="L4" s="280"/>
      <c r="M4" s="280"/>
      <c r="N4" s="284"/>
      <c r="O4" s="285"/>
      <c r="P4" s="284"/>
      <c r="Q4" s="285"/>
    </row>
    <row r="5" spans="1:17" x14ac:dyDescent="0.7">
      <c r="A5" s="290"/>
      <c r="B5" s="290"/>
      <c r="C5" s="290"/>
      <c r="D5" s="280"/>
      <c r="E5" s="280"/>
      <c r="F5" s="282" t="s">
        <v>163</v>
      </c>
      <c r="G5" s="288"/>
      <c r="H5" s="288"/>
      <c r="I5" s="283"/>
      <c r="J5" s="279" t="s">
        <v>164</v>
      </c>
      <c r="K5" s="280"/>
      <c r="L5" s="280"/>
      <c r="M5" s="280"/>
      <c r="N5" s="284"/>
      <c r="O5" s="285"/>
      <c r="P5" s="284"/>
      <c r="Q5" s="285"/>
    </row>
    <row r="6" spans="1:17" ht="51" x14ac:dyDescent="0.7">
      <c r="A6" s="290"/>
      <c r="B6" s="290"/>
      <c r="C6" s="290"/>
      <c r="D6" s="280"/>
      <c r="E6" s="280"/>
      <c r="F6" s="96" t="s">
        <v>165</v>
      </c>
      <c r="G6" s="96" t="s">
        <v>166</v>
      </c>
      <c r="H6" s="96" t="s">
        <v>167</v>
      </c>
      <c r="I6" s="96" t="s">
        <v>83</v>
      </c>
      <c r="J6" s="280"/>
      <c r="K6" s="281"/>
      <c r="L6" s="281"/>
      <c r="M6" s="281"/>
      <c r="N6" s="286"/>
      <c r="O6" s="287"/>
      <c r="P6" s="286"/>
      <c r="Q6" s="287"/>
    </row>
    <row r="7" spans="1:17" x14ac:dyDescent="0.7">
      <c r="A7" s="71" t="s">
        <v>168</v>
      </c>
      <c r="B7" s="76"/>
      <c r="C7" s="76"/>
      <c r="D7" s="77"/>
      <c r="E7" s="75" t="s">
        <v>169</v>
      </c>
      <c r="F7" s="75" t="s">
        <v>170</v>
      </c>
      <c r="G7" s="75" t="s">
        <v>171</v>
      </c>
      <c r="H7" s="75" t="s">
        <v>172</v>
      </c>
      <c r="I7" s="75" t="s">
        <v>173</v>
      </c>
      <c r="J7" s="75" t="s">
        <v>174</v>
      </c>
      <c r="K7" s="75" t="s">
        <v>175</v>
      </c>
      <c r="L7" s="75" t="s">
        <v>176</v>
      </c>
      <c r="M7" s="75" t="s">
        <v>177</v>
      </c>
      <c r="N7" s="273" t="s">
        <v>178</v>
      </c>
      <c r="O7" s="274"/>
      <c r="P7" s="273" t="s">
        <v>179</v>
      </c>
      <c r="Q7" s="274"/>
    </row>
    <row r="8" spans="1:17" x14ac:dyDescent="0.7">
      <c r="A8" s="78" t="s">
        <v>180</v>
      </c>
      <c r="B8" s="79"/>
      <c r="C8" s="79"/>
      <c r="D8" s="80"/>
      <c r="E8" s="66"/>
      <c r="F8" s="66"/>
      <c r="G8" s="66"/>
      <c r="H8" s="66"/>
      <c r="I8" s="66"/>
      <c r="J8" s="67"/>
      <c r="K8" s="67"/>
      <c r="L8" s="67"/>
      <c r="M8" s="67"/>
      <c r="N8" s="275"/>
      <c r="O8" s="276"/>
      <c r="P8" s="277">
        <f>P9</f>
        <v>0</v>
      </c>
      <c r="Q8" s="278"/>
    </row>
    <row r="9" spans="1:17" x14ac:dyDescent="0.7">
      <c r="A9" s="268" t="s">
        <v>181</v>
      </c>
      <c r="B9" s="269"/>
      <c r="C9" s="269"/>
      <c r="D9" s="270"/>
      <c r="E9" s="66"/>
      <c r="F9" s="66"/>
      <c r="G9" s="66"/>
      <c r="H9" s="66"/>
      <c r="I9" s="66"/>
      <c r="J9" s="67"/>
      <c r="K9" s="67"/>
      <c r="L9" s="67"/>
      <c r="M9" s="67"/>
      <c r="N9" s="271"/>
      <c r="O9" s="272"/>
      <c r="P9" s="277">
        <f>P57</f>
        <v>0</v>
      </c>
      <c r="Q9" s="278"/>
    </row>
    <row r="10" spans="1:17" ht="18" customHeight="1" x14ac:dyDescent="0.7">
      <c r="A10" s="68" t="s">
        <v>182</v>
      </c>
      <c r="B10" s="69"/>
      <c r="C10" s="69"/>
      <c r="D10" s="69" t="s">
        <v>183</v>
      </c>
      <c r="E10" s="70"/>
      <c r="F10" s="70"/>
      <c r="G10" s="70"/>
      <c r="H10" s="70"/>
      <c r="I10" s="70"/>
      <c r="J10" s="70"/>
      <c r="K10" s="70"/>
      <c r="L10" s="70"/>
      <c r="M10" s="70"/>
      <c r="N10" s="263"/>
      <c r="O10" s="264"/>
      <c r="P10" s="265" t="s">
        <v>168</v>
      </c>
      <c r="Q10" s="266"/>
    </row>
    <row r="11" spans="1:17" ht="18" customHeight="1" x14ac:dyDescent="0.7">
      <c r="A11" s="71"/>
      <c r="B11" s="68" t="s">
        <v>184</v>
      </c>
      <c r="C11" s="69"/>
      <c r="D11" s="69" t="s">
        <v>185</v>
      </c>
      <c r="E11" s="70"/>
      <c r="F11" s="70"/>
      <c r="G11" s="70"/>
      <c r="H11" s="70"/>
      <c r="I11" s="70"/>
      <c r="J11" s="70"/>
      <c r="K11" s="70"/>
      <c r="L11" s="70"/>
      <c r="M11" s="70"/>
      <c r="N11" s="263"/>
      <c r="O11" s="264"/>
      <c r="P11" s="265" t="s">
        <v>168</v>
      </c>
      <c r="Q11" s="266"/>
    </row>
    <row r="12" spans="1:17" ht="18" customHeight="1" x14ac:dyDescent="0.7">
      <c r="A12" s="71"/>
      <c r="B12" s="68"/>
      <c r="C12" s="68" t="s">
        <v>186</v>
      </c>
      <c r="D12" s="69" t="s">
        <v>187</v>
      </c>
      <c r="E12" s="70"/>
      <c r="F12" s="70"/>
      <c r="G12" s="70"/>
      <c r="H12" s="70"/>
      <c r="I12" s="70"/>
      <c r="J12" s="70"/>
      <c r="K12" s="70"/>
      <c r="L12" s="70"/>
      <c r="M12" s="70"/>
      <c r="N12" s="263"/>
      <c r="O12" s="264"/>
      <c r="P12" s="265" t="s">
        <v>168</v>
      </c>
      <c r="Q12" s="266"/>
    </row>
    <row r="13" spans="1:17" x14ac:dyDescent="0.7">
      <c r="A13" s="71"/>
      <c r="B13" s="68"/>
      <c r="C13" s="68" t="s">
        <v>188</v>
      </c>
      <c r="D13" s="72" t="s">
        <v>189</v>
      </c>
      <c r="E13" s="70"/>
      <c r="F13" s="70"/>
      <c r="G13" s="70"/>
      <c r="H13" s="70"/>
      <c r="I13" s="70"/>
      <c r="J13" s="70"/>
      <c r="K13" s="70"/>
      <c r="L13" s="70"/>
      <c r="M13" s="70"/>
      <c r="N13" s="263"/>
      <c r="O13" s="264"/>
      <c r="P13" s="265" t="s">
        <v>168</v>
      </c>
      <c r="Q13" s="266"/>
    </row>
    <row r="14" spans="1:17" ht="18" customHeight="1" x14ac:dyDescent="0.7">
      <c r="A14" s="71"/>
      <c r="B14" s="68"/>
      <c r="C14" s="68" t="s">
        <v>190</v>
      </c>
      <c r="D14" s="69" t="s">
        <v>191</v>
      </c>
      <c r="E14" s="70"/>
      <c r="F14" s="70"/>
      <c r="G14" s="70"/>
      <c r="H14" s="70"/>
      <c r="I14" s="70"/>
      <c r="J14" s="70"/>
      <c r="K14" s="70"/>
      <c r="L14" s="70"/>
      <c r="M14" s="70"/>
      <c r="N14" s="263"/>
      <c r="O14" s="264"/>
      <c r="P14" s="265" t="s">
        <v>168</v>
      </c>
      <c r="Q14" s="266"/>
    </row>
    <row r="15" spans="1:17" ht="21" customHeight="1" x14ac:dyDescent="0.7">
      <c r="A15" s="71"/>
      <c r="B15" s="68"/>
      <c r="C15" s="68" t="s">
        <v>192</v>
      </c>
      <c r="D15" s="69" t="s">
        <v>193</v>
      </c>
      <c r="E15" s="70"/>
      <c r="F15" s="70"/>
      <c r="G15" s="70"/>
      <c r="H15" s="70"/>
      <c r="I15" s="70"/>
      <c r="J15" s="70"/>
      <c r="K15" s="70"/>
      <c r="L15" s="70"/>
      <c r="M15" s="70"/>
      <c r="N15" s="263"/>
      <c r="O15" s="264"/>
      <c r="P15" s="265" t="s">
        <v>168</v>
      </c>
      <c r="Q15" s="266"/>
    </row>
    <row r="16" spans="1:17" ht="19.5" customHeight="1" x14ac:dyDescent="0.7">
      <c r="A16" s="71"/>
      <c r="B16" s="68" t="s">
        <v>194</v>
      </c>
      <c r="C16" s="69"/>
      <c r="D16" s="69" t="s">
        <v>195</v>
      </c>
      <c r="E16" s="70"/>
      <c r="F16" s="70"/>
      <c r="G16" s="70"/>
      <c r="H16" s="70"/>
      <c r="I16" s="70"/>
      <c r="J16" s="70"/>
      <c r="K16" s="70"/>
      <c r="L16" s="70"/>
      <c r="M16" s="70"/>
      <c r="N16" s="263"/>
      <c r="O16" s="264"/>
      <c r="P16" s="265" t="s">
        <v>168</v>
      </c>
      <c r="Q16" s="266"/>
    </row>
    <row r="17" spans="1:17" ht="21" customHeight="1" x14ac:dyDescent="0.7">
      <c r="A17" s="71"/>
      <c r="B17" s="68"/>
      <c r="C17" s="68" t="s">
        <v>196</v>
      </c>
      <c r="D17" s="69" t="s">
        <v>197</v>
      </c>
      <c r="E17" s="70"/>
      <c r="F17" s="70"/>
      <c r="G17" s="70"/>
      <c r="H17" s="70"/>
      <c r="I17" s="70"/>
      <c r="J17" s="70"/>
      <c r="K17" s="70"/>
      <c r="L17" s="70"/>
      <c r="M17" s="70"/>
      <c r="N17" s="263"/>
      <c r="O17" s="264"/>
      <c r="P17" s="265" t="s">
        <v>168</v>
      </c>
      <c r="Q17" s="266"/>
    </row>
    <row r="18" spans="1:17" ht="21.75" customHeight="1" x14ac:dyDescent="0.7">
      <c r="A18" s="71"/>
      <c r="B18" s="68"/>
      <c r="C18" s="68" t="s">
        <v>198</v>
      </c>
      <c r="D18" s="69" t="s">
        <v>199</v>
      </c>
      <c r="E18" s="70"/>
      <c r="F18" s="70"/>
      <c r="G18" s="70"/>
      <c r="H18" s="70"/>
      <c r="I18" s="70"/>
      <c r="J18" s="70"/>
      <c r="K18" s="70"/>
      <c r="L18" s="70"/>
      <c r="M18" s="70"/>
      <c r="N18" s="263"/>
      <c r="O18" s="264"/>
      <c r="P18" s="265" t="s">
        <v>168</v>
      </c>
      <c r="Q18" s="266"/>
    </row>
    <row r="19" spans="1:17" ht="21" customHeight="1" x14ac:dyDescent="0.7">
      <c r="A19" s="71"/>
      <c r="B19" s="68" t="s">
        <v>200</v>
      </c>
      <c r="C19" s="69"/>
      <c r="D19" s="69" t="s">
        <v>201</v>
      </c>
      <c r="E19" s="70"/>
      <c r="F19" s="70"/>
      <c r="G19" s="70"/>
      <c r="H19" s="70"/>
      <c r="I19" s="70"/>
      <c r="J19" s="70"/>
      <c r="K19" s="70"/>
      <c r="L19" s="70"/>
      <c r="M19" s="70"/>
      <c r="N19" s="263"/>
      <c r="O19" s="264"/>
      <c r="P19" s="265" t="s">
        <v>168</v>
      </c>
      <c r="Q19" s="266"/>
    </row>
    <row r="20" spans="1:17" x14ac:dyDescent="0.7">
      <c r="A20" s="71"/>
      <c r="B20" s="68"/>
      <c r="C20" s="68" t="s">
        <v>202</v>
      </c>
      <c r="D20" s="69" t="s">
        <v>203</v>
      </c>
      <c r="E20" s="70"/>
      <c r="F20" s="70"/>
      <c r="G20" s="70"/>
      <c r="H20" s="70"/>
      <c r="I20" s="70"/>
      <c r="J20" s="70"/>
      <c r="K20" s="70"/>
      <c r="L20" s="70"/>
      <c r="M20" s="70"/>
      <c r="N20" s="263"/>
      <c r="O20" s="264"/>
      <c r="P20" s="265" t="s">
        <v>168</v>
      </c>
      <c r="Q20" s="266"/>
    </row>
    <row r="21" spans="1:17" ht="16.5" customHeight="1" x14ac:dyDescent="0.7">
      <c r="A21" s="71"/>
      <c r="B21" s="68"/>
      <c r="C21" s="68" t="s">
        <v>204</v>
      </c>
      <c r="D21" s="69" t="s">
        <v>205</v>
      </c>
      <c r="E21" s="70"/>
      <c r="F21" s="70"/>
      <c r="G21" s="70"/>
      <c r="H21" s="70"/>
      <c r="I21" s="70"/>
      <c r="J21" s="70"/>
      <c r="K21" s="70"/>
      <c r="L21" s="70"/>
      <c r="M21" s="70"/>
      <c r="N21" s="263"/>
      <c r="O21" s="264"/>
      <c r="P21" s="265" t="s">
        <v>168</v>
      </c>
      <c r="Q21" s="266"/>
    </row>
    <row r="22" spans="1:17" x14ac:dyDescent="0.7">
      <c r="A22" s="71"/>
      <c r="B22" s="68"/>
      <c r="C22" s="68" t="s">
        <v>206</v>
      </c>
      <c r="D22" s="72" t="s">
        <v>207</v>
      </c>
      <c r="E22" s="70"/>
      <c r="F22" s="70"/>
      <c r="G22" s="70"/>
      <c r="H22" s="70"/>
      <c r="I22" s="70"/>
      <c r="J22" s="70"/>
      <c r="K22" s="70"/>
      <c r="L22" s="70"/>
      <c r="M22" s="70"/>
      <c r="N22" s="263"/>
      <c r="O22" s="264"/>
      <c r="P22" s="265" t="s">
        <v>168</v>
      </c>
      <c r="Q22" s="266"/>
    </row>
    <row r="23" spans="1:17" ht="19.5" customHeight="1" x14ac:dyDescent="0.7">
      <c r="A23" s="71"/>
      <c r="B23" s="68"/>
      <c r="C23" s="68" t="s">
        <v>208</v>
      </c>
      <c r="D23" s="69" t="s">
        <v>209</v>
      </c>
      <c r="E23" s="70"/>
      <c r="F23" s="70"/>
      <c r="G23" s="70"/>
      <c r="H23" s="70"/>
      <c r="I23" s="70"/>
      <c r="J23" s="70"/>
      <c r="K23" s="70"/>
      <c r="L23" s="70"/>
      <c r="M23" s="70"/>
      <c r="N23" s="263"/>
      <c r="O23" s="264"/>
      <c r="P23" s="265" t="s">
        <v>168</v>
      </c>
      <c r="Q23" s="266"/>
    </row>
    <row r="24" spans="1:17" x14ac:dyDescent="0.7">
      <c r="A24" s="71"/>
      <c r="B24" s="68" t="s">
        <v>210</v>
      </c>
      <c r="C24" s="69"/>
      <c r="D24" s="72" t="s">
        <v>211</v>
      </c>
      <c r="E24" s="70"/>
      <c r="F24" s="70"/>
      <c r="G24" s="70"/>
      <c r="H24" s="70"/>
      <c r="I24" s="70"/>
      <c r="J24" s="70"/>
      <c r="K24" s="70"/>
      <c r="L24" s="70"/>
      <c r="M24" s="70"/>
      <c r="N24" s="263"/>
      <c r="O24" s="264"/>
      <c r="P24" s="265" t="s">
        <v>168</v>
      </c>
      <c r="Q24" s="266"/>
    </row>
    <row r="25" spans="1:17" x14ac:dyDescent="0.7">
      <c r="A25" s="71"/>
      <c r="B25" s="68"/>
      <c r="C25" s="68" t="s">
        <v>212</v>
      </c>
      <c r="D25" s="72" t="s">
        <v>213</v>
      </c>
      <c r="E25" s="70"/>
      <c r="F25" s="70"/>
      <c r="G25" s="70"/>
      <c r="H25" s="70"/>
      <c r="I25" s="70"/>
      <c r="J25" s="70"/>
      <c r="K25" s="70"/>
      <c r="L25" s="70"/>
      <c r="M25" s="70"/>
      <c r="N25" s="263"/>
      <c r="O25" s="264"/>
      <c r="P25" s="265" t="s">
        <v>168</v>
      </c>
      <c r="Q25" s="266"/>
    </row>
    <row r="26" spans="1:17" x14ac:dyDescent="0.7">
      <c r="A26" s="71"/>
      <c r="B26" s="68"/>
      <c r="C26" s="68" t="s">
        <v>214</v>
      </c>
      <c r="D26" s="69" t="s">
        <v>215</v>
      </c>
      <c r="E26" s="70"/>
      <c r="F26" s="70"/>
      <c r="G26" s="70"/>
      <c r="H26" s="70"/>
      <c r="I26" s="70"/>
      <c r="J26" s="70"/>
      <c r="K26" s="70"/>
      <c r="L26" s="70"/>
      <c r="M26" s="70"/>
      <c r="N26" s="263"/>
      <c r="O26" s="264"/>
      <c r="P26" s="265" t="s">
        <v>168</v>
      </c>
      <c r="Q26" s="266"/>
    </row>
    <row r="27" spans="1:17" ht="21" customHeight="1" x14ac:dyDescent="0.7">
      <c r="A27" s="71"/>
      <c r="B27" s="68"/>
      <c r="C27" s="68" t="s">
        <v>216</v>
      </c>
      <c r="D27" s="69" t="s">
        <v>217</v>
      </c>
      <c r="E27" s="70"/>
      <c r="F27" s="70"/>
      <c r="G27" s="70"/>
      <c r="H27" s="70"/>
      <c r="I27" s="70"/>
      <c r="J27" s="70"/>
      <c r="K27" s="70"/>
      <c r="L27" s="70"/>
      <c r="M27" s="70"/>
      <c r="N27" s="263"/>
      <c r="O27" s="264"/>
      <c r="P27" s="265" t="s">
        <v>168</v>
      </c>
      <c r="Q27" s="266"/>
    </row>
    <row r="28" spans="1:17" ht="18" customHeight="1" x14ac:dyDescent="0.7">
      <c r="A28" s="71"/>
      <c r="B28" s="68"/>
      <c r="C28" s="68" t="s">
        <v>218</v>
      </c>
      <c r="D28" s="69" t="s">
        <v>219</v>
      </c>
      <c r="E28" s="70"/>
      <c r="F28" s="70"/>
      <c r="G28" s="70"/>
      <c r="H28" s="70"/>
      <c r="I28" s="70"/>
      <c r="J28" s="70"/>
      <c r="K28" s="70"/>
      <c r="L28" s="70"/>
      <c r="M28" s="70"/>
      <c r="N28" s="263"/>
      <c r="O28" s="264"/>
      <c r="P28" s="265" t="s">
        <v>168</v>
      </c>
      <c r="Q28" s="266"/>
    </row>
    <row r="29" spans="1:17" x14ac:dyDescent="0.7">
      <c r="A29" s="71"/>
      <c r="B29" s="68"/>
      <c r="C29" s="68" t="s">
        <v>220</v>
      </c>
      <c r="D29" s="72" t="s">
        <v>221</v>
      </c>
      <c r="E29" s="70"/>
      <c r="F29" s="70"/>
      <c r="G29" s="70"/>
      <c r="H29" s="70"/>
      <c r="I29" s="70"/>
      <c r="J29" s="70"/>
      <c r="K29" s="70"/>
      <c r="L29" s="70"/>
      <c r="M29" s="70"/>
      <c r="N29" s="263"/>
      <c r="O29" s="264"/>
      <c r="P29" s="265" t="s">
        <v>168</v>
      </c>
      <c r="Q29" s="266"/>
    </row>
    <row r="30" spans="1:17" x14ac:dyDescent="0.7">
      <c r="A30" s="71"/>
      <c r="B30" s="68"/>
      <c r="C30" s="68" t="s">
        <v>222</v>
      </c>
      <c r="D30" s="72" t="s">
        <v>223</v>
      </c>
      <c r="E30" s="70"/>
      <c r="F30" s="70"/>
      <c r="G30" s="70"/>
      <c r="H30" s="70"/>
      <c r="I30" s="70"/>
      <c r="J30" s="70"/>
      <c r="K30" s="70"/>
      <c r="L30" s="70"/>
      <c r="M30" s="70"/>
      <c r="N30" s="263"/>
      <c r="O30" s="264"/>
      <c r="P30" s="265" t="s">
        <v>168</v>
      </c>
      <c r="Q30" s="266"/>
    </row>
    <row r="31" spans="1:17" ht="18.75" customHeight="1" x14ac:dyDescent="0.7">
      <c r="A31" s="71"/>
      <c r="B31" s="68" t="s">
        <v>224</v>
      </c>
      <c r="C31" s="69"/>
      <c r="D31" s="69" t="s">
        <v>225</v>
      </c>
      <c r="E31" s="70"/>
      <c r="F31" s="70"/>
      <c r="G31" s="70"/>
      <c r="H31" s="70"/>
      <c r="I31" s="70"/>
      <c r="J31" s="70"/>
      <c r="K31" s="70"/>
      <c r="L31" s="70"/>
      <c r="M31" s="70"/>
      <c r="N31" s="263"/>
      <c r="O31" s="264"/>
      <c r="P31" s="265" t="s">
        <v>168</v>
      </c>
      <c r="Q31" s="266"/>
    </row>
    <row r="32" spans="1:17" ht="18.75" customHeight="1" x14ac:dyDescent="0.7">
      <c r="A32" s="71"/>
      <c r="B32" s="68"/>
      <c r="C32" s="68" t="s">
        <v>226</v>
      </c>
      <c r="D32" s="69" t="s">
        <v>227</v>
      </c>
      <c r="E32" s="70"/>
      <c r="F32" s="70"/>
      <c r="G32" s="70"/>
      <c r="H32" s="70"/>
      <c r="I32" s="70"/>
      <c r="J32" s="70"/>
      <c r="K32" s="70"/>
      <c r="L32" s="70"/>
      <c r="M32" s="70"/>
      <c r="N32" s="263"/>
      <c r="O32" s="264"/>
      <c r="P32" s="265" t="s">
        <v>168</v>
      </c>
      <c r="Q32" s="266"/>
    </row>
    <row r="33" spans="1:17" ht="18.75" customHeight="1" x14ac:dyDescent="0.7">
      <c r="A33" s="71"/>
      <c r="B33" s="68"/>
      <c r="C33" s="68" t="s">
        <v>228</v>
      </c>
      <c r="D33" s="69" t="s">
        <v>229</v>
      </c>
      <c r="E33" s="70"/>
      <c r="F33" s="70"/>
      <c r="G33" s="70"/>
      <c r="H33" s="70"/>
      <c r="I33" s="70"/>
      <c r="J33" s="70"/>
      <c r="K33" s="70"/>
      <c r="L33" s="70"/>
      <c r="M33" s="70"/>
      <c r="N33" s="263"/>
      <c r="O33" s="264"/>
      <c r="P33" s="265" t="s">
        <v>168</v>
      </c>
      <c r="Q33" s="266"/>
    </row>
    <row r="34" spans="1:17" ht="18.75" customHeight="1" x14ac:dyDescent="0.7">
      <c r="A34" s="68" t="s">
        <v>230</v>
      </c>
      <c r="B34" s="69"/>
      <c r="C34" s="69"/>
      <c r="D34" s="69" t="s">
        <v>231</v>
      </c>
      <c r="E34" s="70"/>
      <c r="F34" s="70"/>
      <c r="G34" s="70"/>
      <c r="H34" s="70"/>
      <c r="I34" s="70"/>
      <c r="J34" s="70"/>
      <c r="K34" s="70"/>
      <c r="L34" s="70"/>
      <c r="M34" s="70"/>
      <c r="N34" s="263"/>
      <c r="O34" s="264"/>
      <c r="P34" s="265" t="s">
        <v>168</v>
      </c>
      <c r="Q34" s="266"/>
    </row>
    <row r="35" spans="1:17" ht="18.75" customHeight="1" x14ac:dyDescent="0.7">
      <c r="A35" s="71"/>
      <c r="B35" s="68" t="s">
        <v>232</v>
      </c>
      <c r="C35" s="69"/>
      <c r="D35" s="69" t="s">
        <v>233</v>
      </c>
      <c r="E35" s="70"/>
      <c r="F35" s="70"/>
      <c r="G35" s="70"/>
      <c r="H35" s="70"/>
      <c r="I35" s="70"/>
      <c r="J35" s="70"/>
      <c r="K35" s="70"/>
      <c r="L35" s="70"/>
      <c r="M35" s="70"/>
      <c r="N35" s="263"/>
      <c r="O35" s="264"/>
      <c r="P35" s="265" t="s">
        <v>168</v>
      </c>
      <c r="Q35" s="266"/>
    </row>
    <row r="36" spans="1:17" ht="15" customHeight="1" x14ac:dyDescent="0.7">
      <c r="A36" s="71"/>
      <c r="B36" s="68"/>
      <c r="C36" s="68" t="s">
        <v>234</v>
      </c>
      <c r="D36" s="69" t="s">
        <v>235</v>
      </c>
      <c r="E36" s="70"/>
      <c r="F36" s="70"/>
      <c r="G36" s="70"/>
      <c r="H36" s="70"/>
      <c r="I36" s="70"/>
      <c r="J36" s="70"/>
      <c r="K36" s="70"/>
      <c r="L36" s="70"/>
      <c r="M36" s="70"/>
      <c r="N36" s="263"/>
      <c r="O36" s="264"/>
      <c r="P36" s="265" t="s">
        <v>168</v>
      </c>
      <c r="Q36" s="266"/>
    </row>
    <row r="37" spans="1:17" ht="15" customHeight="1" x14ac:dyDescent="0.7">
      <c r="A37" s="71"/>
      <c r="B37" s="68" t="s">
        <v>236</v>
      </c>
      <c r="C37" s="69"/>
      <c r="D37" s="69" t="s">
        <v>237</v>
      </c>
      <c r="E37" s="70"/>
      <c r="F37" s="70"/>
      <c r="G37" s="70"/>
      <c r="H37" s="70"/>
      <c r="I37" s="70"/>
      <c r="J37" s="70"/>
      <c r="K37" s="70"/>
      <c r="L37" s="70"/>
      <c r="M37" s="70"/>
      <c r="N37" s="263"/>
      <c r="O37" s="264"/>
      <c r="P37" s="265" t="s">
        <v>168</v>
      </c>
      <c r="Q37" s="266"/>
    </row>
    <row r="38" spans="1:17" ht="15" customHeight="1" x14ac:dyDescent="0.7">
      <c r="A38" s="71"/>
      <c r="B38" s="68"/>
      <c r="C38" s="68" t="s">
        <v>238</v>
      </c>
      <c r="D38" s="69" t="s">
        <v>237</v>
      </c>
      <c r="E38" s="70"/>
      <c r="F38" s="70"/>
      <c r="G38" s="70"/>
      <c r="H38" s="70"/>
      <c r="I38" s="70"/>
      <c r="J38" s="70"/>
      <c r="K38" s="70"/>
      <c r="L38" s="70"/>
      <c r="M38" s="70"/>
      <c r="N38" s="263"/>
      <c r="O38" s="264"/>
      <c r="P38" s="265" t="s">
        <v>168</v>
      </c>
      <c r="Q38" s="266"/>
    </row>
    <row r="39" spans="1:17" ht="15" customHeight="1" x14ac:dyDescent="0.7">
      <c r="A39" s="71"/>
      <c r="B39" s="68" t="s">
        <v>239</v>
      </c>
      <c r="C39" s="69"/>
      <c r="D39" s="69" t="s">
        <v>240</v>
      </c>
      <c r="E39" s="70"/>
      <c r="F39" s="70"/>
      <c r="G39" s="70"/>
      <c r="H39" s="70"/>
      <c r="I39" s="70"/>
      <c r="J39" s="70"/>
      <c r="K39" s="70"/>
      <c r="L39" s="70"/>
      <c r="M39" s="70"/>
      <c r="N39" s="263"/>
      <c r="O39" s="264"/>
      <c r="P39" s="265" t="s">
        <v>168</v>
      </c>
      <c r="Q39" s="266"/>
    </row>
    <row r="40" spans="1:17" x14ac:dyDescent="0.7">
      <c r="A40" s="71"/>
      <c r="B40" s="68"/>
      <c r="C40" s="68" t="s">
        <v>241</v>
      </c>
      <c r="D40" s="72" t="s">
        <v>242</v>
      </c>
      <c r="E40" s="70"/>
      <c r="F40" s="70"/>
      <c r="G40" s="70"/>
      <c r="H40" s="70"/>
      <c r="I40" s="70"/>
      <c r="J40" s="70"/>
      <c r="K40" s="70"/>
      <c r="L40" s="70"/>
      <c r="M40" s="70"/>
      <c r="N40" s="263"/>
      <c r="O40" s="264"/>
      <c r="P40" s="265" t="s">
        <v>168</v>
      </c>
      <c r="Q40" s="266"/>
    </row>
    <row r="41" spans="1:17" x14ac:dyDescent="0.7">
      <c r="A41" s="71"/>
      <c r="B41" s="68"/>
      <c r="C41" s="68" t="s">
        <v>243</v>
      </c>
      <c r="D41" s="72" t="s">
        <v>244</v>
      </c>
      <c r="E41" s="70"/>
      <c r="F41" s="70"/>
      <c r="G41" s="70"/>
      <c r="H41" s="70"/>
      <c r="I41" s="70"/>
      <c r="J41" s="70"/>
      <c r="K41" s="70"/>
      <c r="L41" s="70"/>
      <c r="M41" s="70"/>
      <c r="N41" s="263"/>
      <c r="O41" s="264"/>
      <c r="P41" s="265" t="s">
        <v>168</v>
      </c>
      <c r="Q41" s="266"/>
    </row>
    <row r="42" spans="1:17" ht="18" customHeight="1" x14ac:dyDescent="0.7">
      <c r="A42" s="71"/>
      <c r="B42" s="68"/>
      <c r="C42" s="68" t="s">
        <v>245</v>
      </c>
      <c r="D42" s="69" t="s">
        <v>246</v>
      </c>
      <c r="E42" s="70"/>
      <c r="F42" s="70"/>
      <c r="G42" s="70"/>
      <c r="H42" s="70"/>
      <c r="I42" s="70"/>
      <c r="J42" s="70"/>
      <c r="K42" s="70"/>
      <c r="L42" s="70"/>
      <c r="M42" s="70"/>
      <c r="N42" s="263"/>
      <c r="O42" s="264"/>
      <c r="P42" s="265" t="s">
        <v>168</v>
      </c>
      <c r="Q42" s="266"/>
    </row>
    <row r="43" spans="1:17" ht="18" customHeight="1" x14ac:dyDescent="0.7">
      <c r="A43" s="71"/>
      <c r="B43" s="68"/>
      <c r="C43" s="68" t="s">
        <v>247</v>
      </c>
      <c r="D43" s="69" t="s">
        <v>248</v>
      </c>
      <c r="E43" s="70"/>
      <c r="F43" s="70"/>
      <c r="G43" s="70"/>
      <c r="H43" s="70"/>
      <c r="I43" s="70"/>
      <c r="J43" s="70"/>
      <c r="K43" s="70"/>
      <c r="L43" s="70"/>
      <c r="M43" s="70"/>
      <c r="N43" s="263"/>
      <c r="O43" s="264"/>
      <c r="P43" s="265" t="s">
        <v>168</v>
      </c>
      <c r="Q43" s="266"/>
    </row>
    <row r="44" spans="1:17" x14ac:dyDescent="0.7">
      <c r="A44" s="71"/>
      <c r="B44" s="68"/>
      <c r="C44" s="68" t="s">
        <v>249</v>
      </c>
      <c r="D44" s="72" t="s">
        <v>250</v>
      </c>
      <c r="E44" s="70"/>
      <c r="F44" s="70"/>
      <c r="G44" s="70"/>
      <c r="H44" s="70"/>
      <c r="I44" s="70"/>
      <c r="J44" s="70"/>
      <c r="K44" s="70"/>
      <c r="L44" s="70"/>
      <c r="M44" s="70"/>
      <c r="N44" s="263"/>
      <c r="O44" s="264"/>
      <c r="P44" s="265" t="s">
        <v>168</v>
      </c>
      <c r="Q44" s="266"/>
    </row>
    <row r="45" spans="1:17" ht="18" customHeight="1" x14ac:dyDescent="0.7">
      <c r="A45" s="71"/>
      <c r="B45" s="68"/>
      <c r="C45" s="68" t="s">
        <v>251</v>
      </c>
      <c r="D45" s="69" t="s">
        <v>252</v>
      </c>
      <c r="E45" s="70"/>
      <c r="F45" s="70"/>
      <c r="G45" s="70"/>
      <c r="H45" s="70"/>
      <c r="I45" s="70"/>
      <c r="J45" s="70"/>
      <c r="K45" s="70"/>
      <c r="L45" s="70"/>
      <c r="M45" s="70"/>
      <c r="N45" s="263"/>
      <c r="O45" s="264"/>
      <c r="P45" s="265" t="s">
        <v>168</v>
      </c>
      <c r="Q45" s="266"/>
    </row>
    <row r="46" spans="1:17" ht="18" customHeight="1" x14ac:dyDescent="0.7">
      <c r="A46" s="71"/>
      <c r="B46" s="68" t="s">
        <v>253</v>
      </c>
      <c r="C46" s="69"/>
      <c r="D46" s="69" t="s">
        <v>254</v>
      </c>
      <c r="E46" s="70"/>
      <c r="F46" s="70"/>
      <c r="G46" s="70"/>
      <c r="H46" s="70"/>
      <c r="I46" s="70"/>
      <c r="J46" s="70"/>
      <c r="K46" s="70"/>
      <c r="L46" s="70"/>
      <c r="M46" s="70"/>
      <c r="N46" s="263"/>
      <c r="O46" s="264"/>
      <c r="P46" s="265" t="s">
        <v>168</v>
      </c>
      <c r="Q46" s="266"/>
    </row>
    <row r="47" spans="1:17" ht="18" customHeight="1" x14ac:dyDescent="0.7">
      <c r="A47" s="71"/>
      <c r="B47" s="68"/>
      <c r="C47" s="68" t="s">
        <v>255</v>
      </c>
      <c r="D47" s="69" t="s">
        <v>256</v>
      </c>
      <c r="E47" s="70"/>
      <c r="F47" s="70"/>
      <c r="G47" s="70"/>
      <c r="H47" s="70"/>
      <c r="I47" s="70"/>
      <c r="J47" s="70"/>
      <c r="K47" s="70"/>
      <c r="L47" s="70"/>
      <c r="M47" s="70"/>
      <c r="N47" s="263"/>
      <c r="O47" s="264"/>
      <c r="P47" s="265" t="s">
        <v>168</v>
      </c>
      <c r="Q47" s="266"/>
    </row>
    <row r="48" spans="1:17" ht="18" customHeight="1" x14ac:dyDescent="0.7">
      <c r="A48" s="71"/>
      <c r="B48" s="68"/>
      <c r="C48" s="68" t="s">
        <v>257</v>
      </c>
      <c r="D48" s="69" t="s">
        <v>258</v>
      </c>
      <c r="E48" s="70"/>
      <c r="F48" s="70"/>
      <c r="G48" s="70"/>
      <c r="H48" s="70"/>
      <c r="I48" s="70"/>
      <c r="J48" s="70"/>
      <c r="K48" s="70"/>
      <c r="L48" s="70"/>
      <c r="M48" s="70"/>
      <c r="N48" s="263"/>
      <c r="O48" s="264"/>
      <c r="P48" s="265" t="s">
        <v>168</v>
      </c>
      <c r="Q48" s="266"/>
    </row>
    <row r="49" spans="1:17" ht="16.5" customHeight="1" x14ac:dyDescent="0.7">
      <c r="A49" s="71"/>
      <c r="B49" s="68" t="s">
        <v>259</v>
      </c>
      <c r="C49" s="69"/>
      <c r="D49" s="69" t="s">
        <v>260</v>
      </c>
      <c r="E49" s="70"/>
      <c r="F49" s="70"/>
      <c r="G49" s="70"/>
      <c r="H49" s="70"/>
      <c r="I49" s="70"/>
      <c r="J49" s="70"/>
      <c r="K49" s="70"/>
      <c r="L49" s="70"/>
      <c r="M49" s="70"/>
      <c r="N49" s="263"/>
      <c r="O49" s="264"/>
      <c r="P49" s="265" t="s">
        <v>168</v>
      </c>
      <c r="Q49" s="266"/>
    </row>
    <row r="50" spans="1:17" ht="16.5" customHeight="1" x14ac:dyDescent="0.7">
      <c r="A50" s="71"/>
      <c r="B50" s="68"/>
      <c r="C50" s="68" t="s">
        <v>261</v>
      </c>
      <c r="D50" s="69" t="s">
        <v>262</v>
      </c>
      <c r="E50" s="70"/>
      <c r="F50" s="70"/>
      <c r="G50" s="70"/>
      <c r="H50" s="70"/>
      <c r="I50" s="70"/>
      <c r="J50" s="70"/>
      <c r="K50" s="70"/>
      <c r="L50" s="70"/>
      <c r="M50" s="70"/>
      <c r="N50" s="263"/>
      <c r="O50" s="264"/>
      <c r="P50" s="265" t="s">
        <v>168</v>
      </c>
      <c r="Q50" s="266"/>
    </row>
    <row r="51" spans="1:17" ht="16.5" customHeight="1" x14ac:dyDescent="0.7">
      <c r="A51" s="71"/>
      <c r="B51" s="68" t="s">
        <v>263</v>
      </c>
      <c r="C51" s="69"/>
      <c r="D51" s="69" t="s">
        <v>264</v>
      </c>
      <c r="E51" s="70"/>
      <c r="F51" s="70"/>
      <c r="G51" s="70"/>
      <c r="H51" s="70"/>
      <c r="I51" s="70"/>
      <c r="J51" s="70"/>
      <c r="K51" s="70"/>
      <c r="L51" s="70"/>
      <c r="M51" s="70"/>
      <c r="N51" s="263"/>
      <c r="O51" s="264"/>
      <c r="P51" s="265" t="s">
        <v>168</v>
      </c>
      <c r="Q51" s="266"/>
    </row>
    <row r="52" spans="1:17" ht="16.5" customHeight="1" x14ac:dyDescent="0.7">
      <c r="A52" s="71"/>
      <c r="B52" s="68"/>
      <c r="C52" s="68" t="s">
        <v>265</v>
      </c>
      <c r="D52" s="69" t="s">
        <v>266</v>
      </c>
      <c r="E52" s="70"/>
      <c r="F52" s="70"/>
      <c r="G52" s="70"/>
      <c r="H52" s="70"/>
      <c r="I52" s="70"/>
      <c r="J52" s="70"/>
      <c r="K52" s="70"/>
      <c r="L52" s="70"/>
      <c r="M52" s="70"/>
      <c r="N52" s="263"/>
      <c r="O52" s="264"/>
      <c r="P52" s="265" t="s">
        <v>168</v>
      </c>
      <c r="Q52" s="266"/>
    </row>
    <row r="53" spans="1:17" ht="16.5" customHeight="1" x14ac:dyDescent="0.7">
      <c r="A53" s="71"/>
      <c r="B53" s="68"/>
      <c r="C53" s="68" t="s">
        <v>267</v>
      </c>
      <c r="D53" s="69" t="s">
        <v>268</v>
      </c>
      <c r="E53" s="70"/>
      <c r="F53" s="70"/>
      <c r="G53" s="70"/>
      <c r="H53" s="70"/>
      <c r="I53" s="70"/>
      <c r="J53" s="70"/>
      <c r="K53" s="70"/>
      <c r="L53" s="70"/>
      <c r="M53" s="70"/>
      <c r="N53" s="263"/>
      <c r="O53" s="264"/>
      <c r="P53" s="265" t="s">
        <v>168</v>
      </c>
      <c r="Q53" s="266"/>
    </row>
    <row r="54" spans="1:17" ht="16.5" customHeight="1" x14ac:dyDescent="0.7">
      <c r="A54" s="71"/>
      <c r="B54" s="68"/>
      <c r="C54" s="68" t="s">
        <v>269</v>
      </c>
      <c r="D54" s="69" t="s">
        <v>270</v>
      </c>
      <c r="E54" s="70"/>
      <c r="F54" s="70"/>
      <c r="G54" s="70"/>
      <c r="H54" s="70"/>
      <c r="I54" s="70"/>
      <c r="J54" s="70"/>
      <c r="K54" s="70"/>
      <c r="L54" s="70"/>
      <c r="M54" s="70"/>
      <c r="N54" s="263"/>
      <c r="O54" s="264"/>
      <c r="P54" s="265" t="s">
        <v>168</v>
      </c>
      <c r="Q54" s="266"/>
    </row>
    <row r="55" spans="1:17" ht="16.5" customHeight="1" x14ac:dyDescent="0.7">
      <c r="A55" s="71"/>
      <c r="B55" s="68" t="s">
        <v>271</v>
      </c>
      <c r="C55" s="69"/>
      <c r="D55" s="69" t="s">
        <v>272</v>
      </c>
      <c r="E55" s="70"/>
      <c r="F55" s="70"/>
      <c r="G55" s="70"/>
      <c r="H55" s="70"/>
      <c r="I55" s="70"/>
      <c r="J55" s="70"/>
      <c r="K55" s="70"/>
      <c r="L55" s="70"/>
      <c r="M55" s="70"/>
      <c r="N55" s="263"/>
      <c r="O55" s="264"/>
      <c r="P55" s="265" t="s">
        <v>168</v>
      </c>
      <c r="Q55" s="266"/>
    </row>
    <row r="56" spans="1:17" ht="16.5" customHeight="1" x14ac:dyDescent="0.7">
      <c r="A56" s="71"/>
      <c r="B56" s="68"/>
      <c r="C56" s="68" t="s">
        <v>273</v>
      </c>
      <c r="D56" s="69" t="s">
        <v>274</v>
      </c>
      <c r="E56" s="70"/>
      <c r="F56" s="70"/>
      <c r="G56" s="70"/>
      <c r="H56" s="70"/>
      <c r="I56" s="70"/>
      <c r="J56" s="70"/>
      <c r="K56" s="70"/>
      <c r="L56" s="70"/>
      <c r="M56" s="70"/>
      <c r="N56" s="263"/>
      <c r="O56" s="264"/>
      <c r="P56" s="265"/>
      <c r="Q56" s="266"/>
    </row>
    <row r="57" spans="1:17" ht="16.5" customHeight="1" x14ac:dyDescent="0.7">
      <c r="A57" s="68" t="s">
        <v>275</v>
      </c>
      <c r="B57" s="69"/>
      <c r="C57" s="69"/>
      <c r="D57" s="69" t="s">
        <v>276</v>
      </c>
      <c r="E57" s="70"/>
      <c r="F57" s="70"/>
      <c r="G57" s="70"/>
      <c r="H57" s="70"/>
      <c r="I57" s="70"/>
      <c r="J57" s="70"/>
      <c r="K57" s="70"/>
      <c r="L57" s="70"/>
      <c r="M57" s="70"/>
      <c r="N57" s="263"/>
      <c r="O57" s="264"/>
      <c r="P57" s="265"/>
      <c r="Q57" s="266"/>
    </row>
    <row r="58" spans="1:17" ht="16.5" customHeight="1" x14ac:dyDescent="0.7">
      <c r="A58" s="71"/>
      <c r="B58" s="68" t="s">
        <v>277</v>
      </c>
      <c r="C58" s="69"/>
      <c r="D58" s="69" t="s">
        <v>278</v>
      </c>
      <c r="E58" s="70"/>
      <c r="F58" s="70"/>
      <c r="G58" s="70"/>
      <c r="H58" s="70"/>
      <c r="I58" s="70"/>
      <c r="J58" s="70"/>
      <c r="K58" s="70"/>
      <c r="L58" s="70"/>
      <c r="M58" s="70"/>
      <c r="N58" s="263"/>
      <c r="O58" s="264"/>
      <c r="P58" s="265"/>
      <c r="Q58" s="266"/>
    </row>
    <row r="59" spans="1:17" ht="16.5" customHeight="1" x14ac:dyDescent="0.7">
      <c r="A59" s="71"/>
      <c r="B59" s="68"/>
      <c r="C59" s="68" t="s">
        <v>279</v>
      </c>
      <c r="D59" s="69" t="s">
        <v>280</v>
      </c>
      <c r="E59" s="70"/>
      <c r="F59" s="70"/>
      <c r="G59" s="70"/>
      <c r="H59" s="70"/>
      <c r="I59" s="70"/>
      <c r="J59" s="70"/>
      <c r="K59" s="70"/>
      <c r="L59" s="70"/>
      <c r="M59" s="70"/>
      <c r="N59" s="263"/>
      <c r="O59" s="264"/>
      <c r="P59" s="265"/>
      <c r="Q59" s="266"/>
    </row>
    <row r="60" spans="1:17" ht="16.5" customHeight="1" x14ac:dyDescent="0.7">
      <c r="A60" s="71"/>
      <c r="B60" s="68"/>
      <c r="C60" s="68" t="s">
        <v>281</v>
      </c>
      <c r="D60" s="69" t="s">
        <v>282</v>
      </c>
      <c r="E60" s="70"/>
      <c r="F60" s="70"/>
      <c r="G60" s="70"/>
      <c r="H60" s="70"/>
      <c r="I60" s="70"/>
      <c r="J60" s="70"/>
      <c r="K60" s="70"/>
      <c r="L60" s="70"/>
      <c r="M60" s="70"/>
      <c r="N60" s="263"/>
      <c r="O60" s="264"/>
      <c r="P60" s="265"/>
      <c r="Q60" s="266"/>
    </row>
    <row r="61" spans="1:17" ht="16.5" customHeight="1" x14ac:dyDescent="0.7">
      <c r="A61" s="71"/>
      <c r="B61" s="68"/>
      <c r="C61" s="68" t="s">
        <v>283</v>
      </c>
      <c r="D61" s="69" t="s">
        <v>284</v>
      </c>
      <c r="E61" s="70"/>
      <c r="F61" s="70"/>
      <c r="G61" s="70"/>
      <c r="H61" s="70"/>
      <c r="I61" s="70"/>
      <c r="J61" s="70"/>
      <c r="K61" s="70"/>
      <c r="L61" s="70"/>
      <c r="M61" s="70"/>
      <c r="N61" s="263"/>
      <c r="O61" s="264"/>
      <c r="P61" s="265"/>
      <c r="Q61" s="266"/>
    </row>
    <row r="62" spans="1:17" ht="16.5" customHeight="1" x14ac:dyDescent="0.7">
      <c r="A62" s="71"/>
      <c r="B62" s="68"/>
      <c r="C62" s="68" t="s">
        <v>285</v>
      </c>
      <c r="D62" s="69" t="s">
        <v>286</v>
      </c>
      <c r="E62" s="70"/>
      <c r="F62" s="70"/>
      <c r="G62" s="70"/>
      <c r="H62" s="70"/>
      <c r="I62" s="70"/>
      <c r="J62" s="70"/>
      <c r="K62" s="70"/>
      <c r="L62" s="70"/>
      <c r="M62" s="70"/>
      <c r="N62" s="263"/>
      <c r="O62" s="264"/>
      <c r="P62" s="265"/>
      <c r="Q62" s="266"/>
    </row>
    <row r="63" spans="1:17" ht="16.5" customHeight="1" x14ac:dyDescent="0.7">
      <c r="A63" s="71"/>
      <c r="B63" s="68" t="s">
        <v>287</v>
      </c>
      <c r="C63" s="69"/>
      <c r="D63" s="69" t="s">
        <v>288</v>
      </c>
      <c r="E63" s="70"/>
      <c r="F63" s="70"/>
      <c r="G63" s="70"/>
      <c r="H63" s="70"/>
      <c r="I63" s="70"/>
      <c r="J63" s="70"/>
      <c r="K63" s="70"/>
      <c r="L63" s="70"/>
      <c r="M63" s="70"/>
      <c r="N63" s="263"/>
      <c r="O63" s="264"/>
      <c r="P63" s="265"/>
      <c r="Q63" s="266"/>
    </row>
    <row r="64" spans="1:17" ht="16.5" customHeight="1" x14ac:dyDescent="0.7">
      <c r="A64" s="71"/>
      <c r="B64" s="68"/>
      <c r="C64" s="68" t="s">
        <v>289</v>
      </c>
      <c r="D64" s="69" t="s">
        <v>290</v>
      </c>
      <c r="E64" s="70"/>
      <c r="F64" s="70"/>
      <c r="G64" s="70"/>
      <c r="H64" s="70"/>
      <c r="I64" s="70"/>
      <c r="J64" s="70"/>
      <c r="K64" s="70"/>
      <c r="L64" s="70"/>
      <c r="M64" s="70"/>
      <c r="N64" s="263"/>
      <c r="O64" s="264"/>
      <c r="P64" s="265" t="s">
        <v>168</v>
      </c>
      <c r="Q64" s="266"/>
    </row>
    <row r="65" spans="1:17" ht="16.5" customHeight="1" x14ac:dyDescent="0.7">
      <c r="A65" s="71"/>
      <c r="B65" s="68" t="s">
        <v>291</v>
      </c>
      <c r="C65" s="69"/>
      <c r="D65" s="69" t="s">
        <v>292</v>
      </c>
      <c r="E65" s="70"/>
      <c r="F65" s="70"/>
      <c r="G65" s="70"/>
      <c r="H65" s="70"/>
      <c r="I65" s="70"/>
      <c r="J65" s="70"/>
      <c r="K65" s="70"/>
      <c r="L65" s="70"/>
      <c r="M65" s="70"/>
      <c r="N65" s="263"/>
      <c r="O65" s="264"/>
      <c r="P65" s="265" t="s">
        <v>168</v>
      </c>
      <c r="Q65" s="266"/>
    </row>
    <row r="66" spans="1:17" ht="16.5" customHeight="1" x14ac:dyDescent="0.7">
      <c r="A66" s="71"/>
      <c r="B66" s="68"/>
      <c r="C66" s="68" t="s">
        <v>293</v>
      </c>
      <c r="D66" s="69" t="s">
        <v>294</v>
      </c>
      <c r="E66" s="70"/>
      <c r="F66" s="70"/>
      <c r="G66" s="70"/>
      <c r="H66" s="70"/>
      <c r="I66" s="70"/>
      <c r="J66" s="70"/>
      <c r="K66" s="70"/>
      <c r="L66" s="70"/>
      <c r="M66" s="70"/>
      <c r="N66" s="263"/>
      <c r="O66" s="264"/>
      <c r="P66" s="265" t="s">
        <v>168</v>
      </c>
      <c r="Q66" s="266"/>
    </row>
    <row r="67" spans="1:17" ht="16.5" customHeight="1" x14ac:dyDescent="0.7">
      <c r="A67" s="71"/>
      <c r="B67" s="68"/>
      <c r="C67" s="68" t="s">
        <v>295</v>
      </c>
      <c r="D67" s="69" t="s">
        <v>296</v>
      </c>
      <c r="E67" s="70"/>
      <c r="F67" s="70"/>
      <c r="G67" s="70"/>
      <c r="H67" s="70"/>
      <c r="I67" s="70"/>
      <c r="J67" s="70"/>
      <c r="K67" s="70"/>
      <c r="L67" s="70"/>
      <c r="M67" s="70"/>
      <c r="N67" s="263"/>
      <c r="O67" s="264"/>
      <c r="P67" s="265" t="s">
        <v>168</v>
      </c>
      <c r="Q67" s="266"/>
    </row>
    <row r="68" spans="1:17" ht="16.5" customHeight="1" x14ac:dyDescent="0.7">
      <c r="A68" s="71"/>
      <c r="B68" s="68"/>
      <c r="C68" s="68" t="s">
        <v>297</v>
      </c>
      <c r="D68" s="69" t="s">
        <v>298</v>
      </c>
      <c r="E68" s="70"/>
      <c r="F68" s="70"/>
      <c r="G68" s="70"/>
      <c r="H68" s="70"/>
      <c r="I68" s="70"/>
      <c r="J68" s="70"/>
      <c r="K68" s="70"/>
      <c r="L68" s="70"/>
      <c r="M68" s="70"/>
      <c r="N68" s="263"/>
      <c r="O68" s="264"/>
      <c r="P68" s="265" t="s">
        <v>168</v>
      </c>
      <c r="Q68" s="266"/>
    </row>
    <row r="69" spans="1:17" ht="16.5" customHeight="1" x14ac:dyDescent="0.7">
      <c r="A69" s="71"/>
      <c r="B69" s="68"/>
      <c r="C69" s="68" t="s">
        <v>299</v>
      </c>
      <c r="D69" s="69" t="s">
        <v>300</v>
      </c>
      <c r="E69" s="70"/>
      <c r="F69" s="70"/>
      <c r="G69" s="70"/>
      <c r="H69" s="70"/>
      <c r="I69" s="70"/>
      <c r="J69" s="70"/>
      <c r="K69" s="70"/>
      <c r="L69" s="70"/>
      <c r="M69" s="70"/>
      <c r="N69" s="263"/>
      <c r="O69" s="264"/>
      <c r="P69" s="265" t="s">
        <v>168</v>
      </c>
      <c r="Q69" s="266"/>
    </row>
    <row r="70" spans="1:17" ht="16.5" customHeight="1" x14ac:dyDescent="0.7">
      <c r="A70" s="71"/>
      <c r="B70" s="68" t="s">
        <v>301</v>
      </c>
      <c r="C70" s="69"/>
      <c r="D70" s="69" t="s">
        <v>302</v>
      </c>
      <c r="E70" s="70"/>
      <c r="F70" s="70"/>
      <c r="G70" s="70"/>
      <c r="H70" s="70"/>
      <c r="I70" s="70"/>
      <c r="J70" s="70"/>
      <c r="K70" s="70"/>
      <c r="L70" s="70"/>
      <c r="M70" s="70"/>
      <c r="N70" s="263"/>
      <c r="O70" s="264"/>
      <c r="P70" s="265"/>
      <c r="Q70" s="266"/>
    </row>
    <row r="71" spans="1:17" ht="16.5" customHeight="1" x14ac:dyDescent="0.7">
      <c r="A71" s="71"/>
      <c r="B71" s="68"/>
      <c r="C71" s="68" t="s">
        <v>303</v>
      </c>
      <c r="D71" s="69" t="s">
        <v>304</v>
      </c>
      <c r="E71" s="70"/>
      <c r="F71" s="70"/>
      <c r="G71" s="70"/>
      <c r="H71" s="70"/>
      <c r="I71" s="70"/>
      <c r="J71" s="70"/>
      <c r="K71" s="70"/>
      <c r="L71" s="70"/>
      <c r="M71" s="70"/>
      <c r="N71" s="263"/>
      <c r="O71" s="264"/>
      <c r="P71" s="265"/>
      <c r="Q71" s="266"/>
    </row>
    <row r="72" spans="1:17" ht="16.5" customHeight="1" x14ac:dyDescent="0.7">
      <c r="A72" s="71"/>
      <c r="B72" s="68"/>
      <c r="C72" s="68" t="s">
        <v>305</v>
      </c>
      <c r="D72" s="69" t="s">
        <v>306</v>
      </c>
      <c r="E72" s="70"/>
      <c r="F72" s="70"/>
      <c r="G72" s="70"/>
      <c r="H72" s="70"/>
      <c r="I72" s="70"/>
      <c r="J72" s="70"/>
      <c r="K72" s="70"/>
      <c r="L72" s="70"/>
      <c r="M72" s="70"/>
      <c r="N72" s="263"/>
      <c r="O72" s="264"/>
      <c r="P72" s="265"/>
      <c r="Q72" s="266"/>
    </row>
    <row r="73" spans="1:17" ht="16.5" customHeight="1" x14ac:dyDescent="0.7">
      <c r="A73" s="71"/>
      <c r="B73" s="68" t="s">
        <v>307</v>
      </c>
      <c r="C73" s="69"/>
      <c r="D73" s="69" t="s">
        <v>308</v>
      </c>
      <c r="E73" s="70"/>
      <c r="F73" s="70"/>
      <c r="G73" s="70"/>
      <c r="H73" s="70"/>
      <c r="I73" s="70"/>
      <c r="J73" s="70"/>
      <c r="K73" s="70"/>
      <c r="L73" s="70"/>
      <c r="M73" s="70"/>
      <c r="N73" s="263"/>
      <c r="O73" s="264"/>
      <c r="P73" s="265"/>
      <c r="Q73" s="266"/>
    </row>
    <row r="74" spans="1:17" ht="16.5" customHeight="1" x14ac:dyDescent="0.7">
      <c r="A74" s="71"/>
      <c r="B74" s="68"/>
      <c r="C74" s="68" t="s">
        <v>309</v>
      </c>
      <c r="D74" s="69" t="s">
        <v>308</v>
      </c>
      <c r="E74" s="70"/>
      <c r="F74" s="70"/>
      <c r="G74" s="70"/>
      <c r="H74" s="70"/>
      <c r="I74" s="70"/>
      <c r="J74" s="70"/>
      <c r="K74" s="70"/>
      <c r="L74" s="70"/>
      <c r="M74" s="70"/>
      <c r="N74" s="263"/>
      <c r="O74" s="264"/>
      <c r="P74" s="265"/>
      <c r="Q74" s="266"/>
    </row>
    <row r="75" spans="1:17" ht="16.5" customHeight="1" x14ac:dyDescent="0.7">
      <c r="A75" s="268" t="s">
        <v>310</v>
      </c>
      <c r="B75" s="269"/>
      <c r="C75" s="269"/>
      <c r="D75" s="270"/>
      <c r="E75" s="66"/>
      <c r="F75" s="66"/>
      <c r="G75" s="66"/>
      <c r="H75" s="66"/>
      <c r="I75" s="66"/>
      <c r="J75" s="67"/>
      <c r="K75" s="67"/>
      <c r="L75" s="67"/>
      <c r="M75" s="67"/>
      <c r="N75" s="271"/>
      <c r="O75" s="272"/>
      <c r="P75" s="265"/>
      <c r="Q75" s="266"/>
    </row>
    <row r="76" spans="1:17" ht="16.5" customHeight="1" x14ac:dyDescent="0.7">
      <c r="A76" s="68" t="s">
        <v>311</v>
      </c>
      <c r="B76" s="69"/>
      <c r="C76" s="69"/>
      <c r="D76" s="69" t="s">
        <v>312</v>
      </c>
      <c r="E76" s="70"/>
      <c r="F76" s="70"/>
      <c r="G76" s="70"/>
      <c r="H76" s="70"/>
      <c r="I76" s="70"/>
      <c r="J76" s="70"/>
      <c r="K76" s="70"/>
      <c r="L76" s="70"/>
      <c r="M76" s="70"/>
      <c r="N76" s="263"/>
      <c r="O76" s="264"/>
      <c r="P76" s="265" t="s">
        <v>168</v>
      </c>
      <c r="Q76" s="266"/>
    </row>
    <row r="77" spans="1:17" ht="16.5" customHeight="1" x14ac:dyDescent="0.7">
      <c r="A77" s="71"/>
      <c r="B77" s="68" t="s">
        <v>313</v>
      </c>
      <c r="C77" s="69"/>
      <c r="D77" s="69" t="s">
        <v>314</v>
      </c>
      <c r="E77" s="70"/>
      <c r="F77" s="70"/>
      <c r="G77" s="70"/>
      <c r="H77" s="70"/>
      <c r="I77" s="70"/>
      <c r="J77" s="70"/>
      <c r="K77" s="70"/>
      <c r="L77" s="70"/>
      <c r="M77" s="70"/>
      <c r="N77" s="263"/>
      <c r="O77" s="264"/>
      <c r="P77" s="265" t="s">
        <v>168</v>
      </c>
      <c r="Q77" s="266"/>
    </row>
    <row r="78" spans="1:17" ht="16.5" customHeight="1" x14ac:dyDescent="0.7">
      <c r="A78" s="71"/>
      <c r="B78" s="68"/>
      <c r="C78" s="68" t="s">
        <v>315</v>
      </c>
      <c r="D78" s="69" t="s">
        <v>316</v>
      </c>
      <c r="E78" s="70"/>
      <c r="F78" s="70"/>
      <c r="G78" s="70"/>
      <c r="H78" s="70"/>
      <c r="I78" s="70"/>
      <c r="J78" s="70"/>
      <c r="K78" s="70"/>
      <c r="L78" s="70"/>
      <c r="M78" s="70"/>
      <c r="N78" s="263"/>
      <c r="O78" s="264"/>
      <c r="P78" s="265" t="s">
        <v>168</v>
      </c>
      <c r="Q78" s="266"/>
    </row>
    <row r="79" spans="1:17" ht="16.5" customHeight="1" x14ac:dyDescent="0.7">
      <c r="A79" s="71"/>
      <c r="B79" s="68"/>
      <c r="C79" s="68" t="s">
        <v>317</v>
      </c>
      <c r="D79" s="69" t="s">
        <v>318</v>
      </c>
      <c r="E79" s="70"/>
      <c r="F79" s="70"/>
      <c r="G79" s="70"/>
      <c r="H79" s="70"/>
      <c r="I79" s="70"/>
      <c r="J79" s="70"/>
      <c r="K79" s="70"/>
      <c r="L79" s="70"/>
      <c r="M79" s="70"/>
      <c r="N79" s="263"/>
      <c r="O79" s="264"/>
      <c r="P79" s="265" t="s">
        <v>168</v>
      </c>
      <c r="Q79" s="266"/>
    </row>
    <row r="80" spans="1:17" ht="16.5" customHeight="1" x14ac:dyDescent="0.7">
      <c r="A80" s="71"/>
      <c r="B80" s="68" t="s">
        <v>319</v>
      </c>
      <c r="C80" s="69"/>
      <c r="D80" s="69" t="s">
        <v>320</v>
      </c>
      <c r="E80" s="70"/>
      <c r="F80" s="70"/>
      <c r="G80" s="70"/>
      <c r="H80" s="70"/>
      <c r="I80" s="70"/>
      <c r="J80" s="70"/>
      <c r="K80" s="70"/>
      <c r="L80" s="70"/>
      <c r="M80" s="70"/>
      <c r="N80" s="263"/>
      <c r="O80" s="264"/>
      <c r="P80" s="265" t="s">
        <v>168</v>
      </c>
      <c r="Q80" s="266"/>
    </row>
    <row r="81" spans="1:17" ht="16.5" customHeight="1" x14ac:dyDescent="0.7">
      <c r="A81" s="71"/>
      <c r="B81" s="68"/>
      <c r="C81" s="68" t="s">
        <v>321</v>
      </c>
      <c r="D81" s="69" t="s">
        <v>322</v>
      </c>
      <c r="E81" s="70"/>
      <c r="F81" s="70"/>
      <c r="G81" s="70"/>
      <c r="H81" s="70"/>
      <c r="I81" s="70"/>
      <c r="J81" s="70"/>
      <c r="K81" s="70"/>
      <c r="L81" s="70"/>
      <c r="M81" s="70"/>
      <c r="N81" s="263"/>
      <c r="O81" s="264"/>
      <c r="P81" s="265" t="s">
        <v>168</v>
      </c>
      <c r="Q81" s="266"/>
    </row>
    <row r="82" spans="1:17" ht="17.25" customHeight="1" x14ac:dyDescent="0.7">
      <c r="A82" s="71"/>
      <c r="B82" s="68"/>
      <c r="C82" s="68" t="s">
        <v>323</v>
      </c>
      <c r="D82" s="69" t="s">
        <v>324</v>
      </c>
      <c r="E82" s="70"/>
      <c r="F82" s="70"/>
      <c r="G82" s="70"/>
      <c r="H82" s="70"/>
      <c r="I82" s="70"/>
      <c r="J82" s="70"/>
      <c r="K82" s="70"/>
      <c r="L82" s="70"/>
      <c r="M82" s="70"/>
      <c r="N82" s="263"/>
      <c r="O82" s="264"/>
      <c r="P82" s="265" t="s">
        <v>168</v>
      </c>
      <c r="Q82" s="266"/>
    </row>
    <row r="83" spans="1:17" ht="19.5" customHeight="1" x14ac:dyDescent="0.7">
      <c r="A83" s="71"/>
      <c r="B83" s="68" t="s">
        <v>325</v>
      </c>
      <c r="C83" s="69"/>
      <c r="D83" s="69" t="s">
        <v>326</v>
      </c>
      <c r="E83" s="70"/>
      <c r="F83" s="70"/>
      <c r="G83" s="70"/>
      <c r="H83" s="70"/>
      <c r="I83" s="70"/>
      <c r="J83" s="70"/>
      <c r="K83" s="70"/>
      <c r="L83" s="70"/>
      <c r="M83" s="70"/>
      <c r="N83" s="263"/>
      <c r="O83" s="264"/>
      <c r="P83" s="265" t="s">
        <v>168</v>
      </c>
      <c r="Q83" s="266"/>
    </row>
    <row r="84" spans="1:17" ht="19.5" customHeight="1" x14ac:dyDescent="0.7">
      <c r="A84" s="71"/>
      <c r="B84" s="68"/>
      <c r="C84" s="68" t="s">
        <v>327</v>
      </c>
      <c r="D84" s="69" t="s">
        <v>328</v>
      </c>
      <c r="E84" s="70"/>
      <c r="F84" s="70"/>
      <c r="G84" s="70"/>
      <c r="H84" s="70"/>
      <c r="I84" s="70"/>
      <c r="J84" s="70"/>
      <c r="K84" s="70"/>
      <c r="L84" s="70"/>
      <c r="M84" s="70"/>
      <c r="N84" s="263"/>
      <c r="O84" s="264"/>
      <c r="P84" s="265" t="s">
        <v>168</v>
      </c>
      <c r="Q84" s="266"/>
    </row>
    <row r="85" spans="1:17" x14ac:dyDescent="0.7">
      <c r="A85" s="268" t="s">
        <v>329</v>
      </c>
      <c r="B85" s="269"/>
      <c r="C85" s="269"/>
      <c r="D85" s="270"/>
      <c r="E85" s="66"/>
      <c r="F85" s="66"/>
      <c r="G85" s="66"/>
      <c r="H85" s="66"/>
      <c r="I85" s="66"/>
      <c r="J85" s="67"/>
      <c r="K85" s="67"/>
      <c r="L85" s="67"/>
      <c r="M85" s="67"/>
      <c r="N85" s="271"/>
      <c r="O85" s="272"/>
      <c r="P85" s="265" t="s">
        <v>168</v>
      </c>
      <c r="Q85" s="266"/>
    </row>
    <row r="86" spans="1:17" ht="15" customHeight="1" x14ac:dyDescent="0.7">
      <c r="A86" s="68" t="s">
        <v>330</v>
      </c>
      <c r="B86" s="69"/>
      <c r="C86" s="69"/>
      <c r="D86" s="69" t="s">
        <v>331</v>
      </c>
      <c r="E86" s="70"/>
      <c r="F86" s="70"/>
      <c r="G86" s="70"/>
      <c r="H86" s="70"/>
      <c r="I86" s="70"/>
      <c r="J86" s="70"/>
      <c r="K86" s="70"/>
      <c r="L86" s="70"/>
      <c r="M86" s="70"/>
      <c r="N86" s="263"/>
      <c r="O86" s="264"/>
      <c r="P86" s="265" t="s">
        <v>168</v>
      </c>
      <c r="Q86" s="266"/>
    </row>
    <row r="87" spans="1:17" x14ac:dyDescent="0.7">
      <c r="A87" s="71"/>
      <c r="B87" s="68" t="s">
        <v>332</v>
      </c>
      <c r="C87" s="69"/>
      <c r="D87" s="69" t="s">
        <v>333</v>
      </c>
      <c r="E87" s="70"/>
      <c r="F87" s="70"/>
      <c r="G87" s="70"/>
      <c r="H87" s="70"/>
      <c r="I87" s="70"/>
      <c r="J87" s="70"/>
      <c r="K87" s="70"/>
      <c r="L87" s="70"/>
      <c r="M87" s="70"/>
      <c r="N87" s="263"/>
      <c r="O87" s="264"/>
      <c r="P87" s="265" t="s">
        <v>168</v>
      </c>
      <c r="Q87" s="266"/>
    </row>
    <row r="88" spans="1:17" x14ac:dyDescent="0.7">
      <c r="A88" s="71"/>
      <c r="B88" s="68"/>
      <c r="C88" s="68" t="s">
        <v>334</v>
      </c>
      <c r="D88" s="69" t="s">
        <v>333</v>
      </c>
      <c r="E88" s="70"/>
      <c r="F88" s="70"/>
      <c r="G88" s="70"/>
      <c r="H88" s="70"/>
      <c r="I88" s="70"/>
      <c r="J88" s="70"/>
      <c r="K88" s="70"/>
      <c r="L88" s="70"/>
      <c r="M88" s="70"/>
      <c r="N88" s="263"/>
      <c r="O88" s="264"/>
      <c r="P88" s="265" t="s">
        <v>168</v>
      </c>
      <c r="Q88" s="266"/>
    </row>
    <row r="89" spans="1:17" x14ac:dyDescent="0.7">
      <c r="B89" s="74" t="s">
        <v>432</v>
      </c>
    </row>
  </sheetData>
  <mergeCells count="181">
    <mergeCell ref="A9:D9"/>
    <mergeCell ref="N9:O9"/>
    <mergeCell ref="P9:Q9"/>
    <mergeCell ref="K3:K6"/>
    <mergeCell ref="L3:L6"/>
    <mergeCell ref="M3:M6"/>
    <mergeCell ref="N3:O6"/>
    <mergeCell ref="P3:Q6"/>
    <mergeCell ref="F5:I5"/>
    <mergeCell ref="J5:J6"/>
    <mergeCell ref="A3:A6"/>
    <mergeCell ref="B3:B6"/>
    <mergeCell ref="C3:C6"/>
    <mergeCell ref="D3:D6"/>
    <mergeCell ref="E3:E6"/>
    <mergeCell ref="F3:J4"/>
    <mergeCell ref="N10:O10"/>
    <mergeCell ref="P10:Q10"/>
    <mergeCell ref="N11:O11"/>
    <mergeCell ref="P11:Q11"/>
    <mergeCell ref="N12:O12"/>
    <mergeCell ref="P12:Q12"/>
    <mergeCell ref="N7:O7"/>
    <mergeCell ref="P7:Q7"/>
    <mergeCell ref="N8:O8"/>
    <mergeCell ref="P8:Q8"/>
    <mergeCell ref="N16:O16"/>
    <mergeCell ref="P16:Q16"/>
    <mergeCell ref="N17:O17"/>
    <mergeCell ref="P17:Q17"/>
    <mergeCell ref="N18:O18"/>
    <mergeCell ref="P18:Q18"/>
    <mergeCell ref="N13:O13"/>
    <mergeCell ref="P13:Q13"/>
    <mergeCell ref="N14:O14"/>
    <mergeCell ref="P14:Q14"/>
    <mergeCell ref="N15:O15"/>
    <mergeCell ref="P15:Q15"/>
    <mergeCell ref="N22:O22"/>
    <mergeCell ref="P22:Q22"/>
    <mergeCell ref="N23:O23"/>
    <mergeCell ref="P23:Q23"/>
    <mergeCell ref="N24:O24"/>
    <mergeCell ref="P24:Q24"/>
    <mergeCell ref="N19:O19"/>
    <mergeCell ref="P19:Q19"/>
    <mergeCell ref="N20:O20"/>
    <mergeCell ref="P20:Q20"/>
    <mergeCell ref="N21:O21"/>
    <mergeCell ref="P21:Q21"/>
    <mergeCell ref="N28:O28"/>
    <mergeCell ref="P28:Q28"/>
    <mergeCell ref="N29:O29"/>
    <mergeCell ref="P29:Q29"/>
    <mergeCell ref="N30:O30"/>
    <mergeCell ref="P30:Q30"/>
    <mergeCell ref="N25:O25"/>
    <mergeCell ref="P25:Q25"/>
    <mergeCell ref="N26:O26"/>
    <mergeCell ref="P26:Q26"/>
    <mergeCell ref="N27:O27"/>
    <mergeCell ref="P27:Q27"/>
    <mergeCell ref="N34:O34"/>
    <mergeCell ref="P34:Q34"/>
    <mergeCell ref="N35:O35"/>
    <mergeCell ref="P35:Q35"/>
    <mergeCell ref="N36:O36"/>
    <mergeCell ref="P36:Q36"/>
    <mergeCell ref="N31:O31"/>
    <mergeCell ref="P31:Q31"/>
    <mergeCell ref="N32:O32"/>
    <mergeCell ref="P32:Q32"/>
    <mergeCell ref="N33:O33"/>
    <mergeCell ref="P33:Q33"/>
    <mergeCell ref="N40:O40"/>
    <mergeCell ref="P40:Q40"/>
    <mergeCell ref="N41:O41"/>
    <mergeCell ref="P41:Q41"/>
    <mergeCell ref="N42:O42"/>
    <mergeCell ref="P42:Q42"/>
    <mergeCell ref="N37:O37"/>
    <mergeCell ref="P37:Q37"/>
    <mergeCell ref="N38:O38"/>
    <mergeCell ref="P38:Q38"/>
    <mergeCell ref="N39:O39"/>
    <mergeCell ref="P39:Q39"/>
    <mergeCell ref="N46:O46"/>
    <mergeCell ref="P46:Q46"/>
    <mergeCell ref="N47:O47"/>
    <mergeCell ref="P47:Q47"/>
    <mergeCell ref="N48:O48"/>
    <mergeCell ref="P48:Q48"/>
    <mergeCell ref="N43:O43"/>
    <mergeCell ref="P43:Q43"/>
    <mergeCell ref="N44:O44"/>
    <mergeCell ref="P44:Q44"/>
    <mergeCell ref="N45:O45"/>
    <mergeCell ref="P45:Q45"/>
    <mergeCell ref="N52:O52"/>
    <mergeCell ref="P52:Q52"/>
    <mergeCell ref="N53:O53"/>
    <mergeCell ref="P53:Q53"/>
    <mergeCell ref="N54:O54"/>
    <mergeCell ref="P54:Q54"/>
    <mergeCell ref="N49:O49"/>
    <mergeCell ref="P49:Q49"/>
    <mergeCell ref="N50:O50"/>
    <mergeCell ref="P50:Q50"/>
    <mergeCell ref="N51:O51"/>
    <mergeCell ref="P51:Q51"/>
    <mergeCell ref="N58:O58"/>
    <mergeCell ref="P58:Q58"/>
    <mergeCell ref="N59:O59"/>
    <mergeCell ref="P59:Q59"/>
    <mergeCell ref="N60:O60"/>
    <mergeCell ref="P60:Q60"/>
    <mergeCell ref="N55:O55"/>
    <mergeCell ref="P55:Q55"/>
    <mergeCell ref="N56:O56"/>
    <mergeCell ref="P56:Q56"/>
    <mergeCell ref="N57:O57"/>
    <mergeCell ref="P57:Q57"/>
    <mergeCell ref="N64:O64"/>
    <mergeCell ref="P64:Q64"/>
    <mergeCell ref="N65:O65"/>
    <mergeCell ref="P65:Q65"/>
    <mergeCell ref="N66:O66"/>
    <mergeCell ref="P66:Q66"/>
    <mergeCell ref="N61:O61"/>
    <mergeCell ref="P61:Q61"/>
    <mergeCell ref="N62:O62"/>
    <mergeCell ref="P62:Q62"/>
    <mergeCell ref="N63:O63"/>
    <mergeCell ref="P63:Q63"/>
    <mergeCell ref="N70:O70"/>
    <mergeCell ref="P70:Q70"/>
    <mergeCell ref="N71:O71"/>
    <mergeCell ref="P71:Q71"/>
    <mergeCell ref="N72:O72"/>
    <mergeCell ref="P72:Q72"/>
    <mergeCell ref="N67:O67"/>
    <mergeCell ref="P67:Q67"/>
    <mergeCell ref="N68:O68"/>
    <mergeCell ref="P68:Q68"/>
    <mergeCell ref="N69:O69"/>
    <mergeCell ref="P69:Q69"/>
    <mergeCell ref="N77:O77"/>
    <mergeCell ref="P77:Q77"/>
    <mergeCell ref="N78:O78"/>
    <mergeCell ref="P78:Q78"/>
    <mergeCell ref="N73:O73"/>
    <mergeCell ref="P73:Q73"/>
    <mergeCell ref="N74:O74"/>
    <mergeCell ref="P74:Q74"/>
    <mergeCell ref="A75:D75"/>
    <mergeCell ref="N75:O75"/>
    <mergeCell ref="P75:Q75"/>
    <mergeCell ref="N88:O88"/>
    <mergeCell ref="P88:Q88"/>
    <mergeCell ref="N2:P2"/>
    <mergeCell ref="A85:D85"/>
    <mergeCell ref="N85:O85"/>
    <mergeCell ref="P85:Q85"/>
    <mergeCell ref="N86:O86"/>
    <mergeCell ref="P86:Q86"/>
    <mergeCell ref="N87:O87"/>
    <mergeCell ref="P87:Q87"/>
    <mergeCell ref="N82:O82"/>
    <mergeCell ref="P82:Q82"/>
    <mergeCell ref="N83:O83"/>
    <mergeCell ref="P83:Q83"/>
    <mergeCell ref="N84:O84"/>
    <mergeCell ref="P84:Q84"/>
    <mergeCell ref="N79:O79"/>
    <mergeCell ref="P79:Q79"/>
    <mergeCell ref="N80:O80"/>
    <mergeCell ref="P80:Q80"/>
    <mergeCell ref="N81:O81"/>
    <mergeCell ref="P81:Q81"/>
    <mergeCell ref="N76:O76"/>
    <mergeCell ref="P76:Q7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40"/>
  <sheetViews>
    <sheetView topLeftCell="A25" zoomScale="190" zoomScaleNormal="190" workbookViewId="0">
      <selection activeCell="E32" sqref="E32"/>
    </sheetView>
  </sheetViews>
  <sheetFormatPr defaultColWidth="9.1796875" defaultRowHeight="17" x14ac:dyDescent="0.7"/>
  <cols>
    <col min="1" max="1" width="5" style="74" customWidth="1"/>
    <col min="2" max="2" width="4.1796875" style="74" customWidth="1"/>
    <col min="3" max="4" width="6.1796875" style="74" customWidth="1"/>
    <col min="5" max="5" width="9.1796875" style="74"/>
    <col min="6" max="6" width="27.54296875" style="74" customWidth="1"/>
    <col min="7" max="7" width="13.1796875" style="74" customWidth="1"/>
    <col min="8" max="8" width="16" style="74" customWidth="1"/>
    <col min="9" max="16384" width="9.1796875" style="74"/>
  </cols>
  <sheetData>
    <row r="1" spans="1:8" s="73" customFormat="1" ht="19" x14ac:dyDescent="0.8">
      <c r="A1" s="89" t="s">
        <v>398</v>
      </c>
      <c r="C1" s="89"/>
      <c r="D1" s="89"/>
      <c r="E1" s="89"/>
      <c r="F1" s="89"/>
      <c r="G1" s="89"/>
      <c r="H1" s="89"/>
    </row>
    <row r="2" spans="1:8" s="73" customFormat="1" ht="8.25" customHeight="1" x14ac:dyDescent="0.8">
      <c r="B2" s="89"/>
      <c r="C2" s="89"/>
      <c r="D2" s="89"/>
      <c r="E2" s="89"/>
      <c r="F2" s="89"/>
      <c r="G2" s="89"/>
      <c r="H2" s="89"/>
    </row>
    <row r="3" spans="1:8" ht="34" x14ac:dyDescent="0.7">
      <c r="A3" s="90" t="s">
        <v>345</v>
      </c>
      <c r="B3" s="90" t="s">
        <v>152</v>
      </c>
      <c r="C3" s="90" t="s">
        <v>153</v>
      </c>
      <c r="D3" s="91" t="s">
        <v>343</v>
      </c>
      <c r="E3" s="292" t="s">
        <v>344</v>
      </c>
      <c r="F3" s="292"/>
      <c r="G3" s="91" t="s">
        <v>156</v>
      </c>
      <c r="H3" s="91" t="s">
        <v>336</v>
      </c>
    </row>
    <row r="4" spans="1:8" x14ac:dyDescent="0.7">
      <c r="A4" s="93">
        <v>2020</v>
      </c>
      <c r="B4" s="92"/>
      <c r="D4" s="81"/>
      <c r="E4" s="81"/>
      <c r="F4" s="81"/>
      <c r="G4" s="82"/>
      <c r="H4" s="82"/>
    </row>
    <row r="5" spans="1:8" x14ac:dyDescent="0.7">
      <c r="B5" s="83">
        <v>73</v>
      </c>
      <c r="C5" s="83"/>
      <c r="D5" s="83"/>
      <c r="E5" s="84" t="s">
        <v>337</v>
      </c>
      <c r="F5" s="84"/>
      <c r="G5" s="85"/>
      <c r="H5" s="85"/>
    </row>
    <row r="6" spans="1:8" x14ac:dyDescent="0.7">
      <c r="B6" s="83"/>
      <c r="C6" s="83">
        <v>7302</v>
      </c>
      <c r="D6" s="83"/>
      <c r="E6" s="84" t="s">
        <v>338</v>
      </c>
      <c r="F6" s="84"/>
      <c r="G6" s="85"/>
      <c r="H6" s="85"/>
    </row>
    <row r="7" spans="1:8" x14ac:dyDescent="0.7">
      <c r="B7" s="83"/>
      <c r="C7" s="83"/>
      <c r="D7" s="83">
        <v>73023</v>
      </c>
      <c r="E7" s="84" t="s">
        <v>339</v>
      </c>
      <c r="F7" s="84"/>
      <c r="G7" s="85"/>
      <c r="H7" s="85"/>
    </row>
    <row r="8" spans="1:8" x14ac:dyDescent="0.7">
      <c r="B8" s="83"/>
      <c r="C8" s="83"/>
      <c r="D8" s="83">
        <v>73024</v>
      </c>
      <c r="E8" s="84" t="s">
        <v>340</v>
      </c>
      <c r="F8" s="84"/>
      <c r="G8" s="85"/>
      <c r="H8" s="85"/>
    </row>
    <row r="9" spans="1:8" x14ac:dyDescent="0.7">
      <c r="B9" s="83">
        <v>76</v>
      </c>
      <c r="C9" s="83"/>
      <c r="D9" s="83"/>
      <c r="E9" s="84" t="s">
        <v>341</v>
      </c>
      <c r="F9" s="84"/>
      <c r="G9" s="85"/>
      <c r="H9" s="85"/>
    </row>
    <row r="10" spans="1:8" x14ac:dyDescent="0.7">
      <c r="B10" s="86"/>
      <c r="C10" s="86">
        <v>7698</v>
      </c>
      <c r="D10" s="86">
        <v>76981</v>
      </c>
      <c r="E10" s="87" t="s">
        <v>342</v>
      </c>
      <c r="F10" s="87"/>
      <c r="G10" s="88"/>
      <c r="H10" s="88"/>
    </row>
    <row r="11" spans="1:8" x14ac:dyDescent="0.7">
      <c r="A11" s="93">
        <v>2021</v>
      </c>
      <c r="B11" s="94"/>
      <c r="C11" s="94"/>
      <c r="D11" s="81"/>
      <c r="E11" s="81"/>
      <c r="F11" s="81"/>
      <c r="G11" s="82"/>
      <c r="H11" s="82"/>
    </row>
    <row r="12" spans="1:8" x14ac:dyDescent="0.7">
      <c r="B12" s="83">
        <v>73</v>
      </c>
      <c r="C12" s="83"/>
      <c r="D12" s="83"/>
      <c r="E12" s="84" t="s">
        <v>337</v>
      </c>
      <c r="F12" s="84"/>
      <c r="G12" s="85"/>
      <c r="H12" s="85"/>
    </row>
    <row r="13" spans="1:8" x14ac:dyDescent="0.7">
      <c r="B13" s="83"/>
      <c r="C13" s="83">
        <v>7302</v>
      </c>
      <c r="D13" s="83"/>
      <c r="E13" s="84" t="s">
        <v>338</v>
      </c>
      <c r="F13" s="84"/>
      <c r="G13" s="85"/>
      <c r="H13" s="85"/>
    </row>
    <row r="14" spans="1:8" x14ac:dyDescent="0.7">
      <c r="B14" s="83"/>
      <c r="C14" s="83"/>
      <c r="D14" s="83">
        <v>73023</v>
      </c>
      <c r="E14" s="84" t="s">
        <v>339</v>
      </c>
      <c r="F14" s="84"/>
      <c r="G14" s="85"/>
      <c r="H14" s="85"/>
    </row>
    <row r="15" spans="1:8" x14ac:dyDescent="0.7">
      <c r="B15" s="83"/>
      <c r="C15" s="83"/>
      <c r="D15" s="83">
        <v>73024</v>
      </c>
      <c r="E15" s="84" t="s">
        <v>340</v>
      </c>
      <c r="F15" s="84"/>
      <c r="G15" s="85"/>
      <c r="H15" s="85"/>
    </row>
    <row r="16" spans="1:8" x14ac:dyDescent="0.7">
      <c r="B16" s="83">
        <v>76</v>
      </c>
      <c r="C16" s="83"/>
      <c r="D16" s="83"/>
      <c r="E16" s="84" t="s">
        <v>341</v>
      </c>
      <c r="F16" s="84"/>
      <c r="G16" s="85"/>
      <c r="H16" s="85"/>
    </row>
    <row r="17" spans="1:8" x14ac:dyDescent="0.7">
      <c r="B17" s="86"/>
      <c r="C17" s="86">
        <v>7698</v>
      </c>
      <c r="D17" s="86">
        <v>76981</v>
      </c>
      <c r="E17" s="87" t="s">
        <v>342</v>
      </c>
      <c r="F17" s="87"/>
      <c r="G17" s="88"/>
      <c r="H17" s="88"/>
    </row>
    <row r="18" spans="1:8" x14ac:dyDescent="0.7">
      <c r="A18" s="93">
        <v>2022</v>
      </c>
      <c r="B18" s="94"/>
      <c r="C18" s="94"/>
      <c r="D18" s="81"/>
      <c r="E18" s="81"/>
      <c r="F18" s="81"/>
      <c r="G18" s="82"/>
      <c r="H18" s="82"/>
    </row>
    <row r="19" spans="1:8" x14ac:dyDescent="0.7">
      <c r="B19" s="83">
        <v>73</v>
      </c>
      <c r="C19" s="83"/>
      <c r="D19" s="83"/>
      <c r="E19" s="84" t="s">
        <v>337</v>
      </c>
      <c r="F19" s="84"/>
      <c r="G19" s="85"/>
      <c r="H19" s="85"/>
    </row>
    <row r="20" spans="1:8" x14ac:dyDescent="0.7">
      <c r="B20" s="83"/>
      <c r="C20" s="83">
        <v>7302</v>
      </c>
      <c r="D20" s="83"/>
      <c r="E20" s="84" t="s">
        <v>338</v>
      </c>
      <c r="F20" s="84"/>
      <c r="G20" s="85"/>
      <c r="H20" s="85"/>
    </row>
    <row r="21" spans="1:8" x14ac:dyDescent="0.7">
      <c r="B21" s="83"/>
      <c r="C21" s="83"/>
      <c r="D21" s="83">
        <v>73023</v>
      </c>
      <c r="E21" s="84" t="s">
        <v>339</v>
      </c>
      <c r="F21" s="84"/>
      <c r="G21" s="85"/>
      <c r="H21" s="85"/>
    </row>
    <row r="22" spans="1:8" x14ac:dyDescent="0.7">
      <c r="B22" s="83"/>
      <c r="C22" s="83"/>
      <c r="D22" s="83">
        <v>73024</v>
      </c>
      <c r="E22" s="84" t="s">
        <v>340</v>
      </c>
      <c r="F22" s="84"/>
      <c r="G22" s="85"/>
      <c r="H22" s="85"/>
    </row>
    <row r="23" spans="1:8" x14ac:dyDescent="0.7">
      <c r="B23" s="83">
        <v>76</v>
      </c>
      <c r="C23" s="83"/>
      <c r="D23" s="83"/>
      <c r="E23" s="84" t="s">
        <v>341</v>
      </c>
      <c r="F23" s="84"/>
      <c r="G23" s="85"/>
      <c r="H23" s="85"/>
    </row>
    <row r="24" spans="1:8" x14ac:dyDescent="0.7">
      <c r="B24" s="86"/>
      <c r="C24" s="86">
        <v>7698</v>
      </c>
      <c r="D24" s="86">
        <v>76981</v>
      </c>
      <c r="E24" s="87" t="s">
        <v>342</v>
      </c>
      <c r="F24" s="87"/>
      <c r="G24" s="88"/>
      <c r="H24" s="88"/>
    </row>
    <row r="25" spans="1:8" x14ac:dyDescent="0.7">
      <c r="A25" s="93">
        <v>2023</v>
      </c>
      <c r="B25" s="94"/>
      <c r="C25" s="94"/>
      <c r="D25" s="81"/>
      <c r="E25" s="81"/>
      <c r="F25" s="81"/>
      <c r="G25" s="82"/>
      <c r="H25" s="82"/>
    </row>
    <row r="26" spans="1:8" x14ac:dyDescent="0.7">
      <c r="B26" s="83">
        <v>73</v>
      </c>
      <c r="C26" s="83"/>
      <c r="D26" s="83"/>
      <c r="E26" s="84" t="s">
        <v>337</v>
      </c>
      <c r="F26" s="84"/>
      <c r="G26" s="85"/>
      <c r="H26" s="85"/>
    </row>
    <row r="27" spans="1:8" x14ac:dyDescent="0.7">
      <c r="B27" s="83"/>
      <c r="C27" s="83">
        <v>7302</v>
      </c>
      <c r="D27" s="83"/>
      <c r="E27" s="84" t="s">
        <v>338</v>
      </c>
      <c r="F27" s="84"/>
      <c r="G27" s="85"/>
      <c r="H27" s="85"/>
    </row>
    <row r="28" spans="1:8" x14ac:dyDescent="0.7">
      <c r="B28" s="83"/>
      <c r="C28" s="83"/>
      <c r="D28" s="83">
        <v>73023</v>
      </c>
      <c r="E28" s="84" t="s">
        <v>339</v>
      </c>
      <c r="F28" s="84"/>
      <c r="G28" s="85"/>
      <c r="H28" s="85"/>
    </row>
    <row r="29" spans="1:8" x14ac:dyDescent="0.7">
      <c r="B29" s="83"/>
      <c r="C29" s="83"/>
      <c r="D29" s="83">
        <v>73024</v>
      </c>
      <c r="E29" s="84" t="s">
        <v>340</v>
      </c>
      <c r="F29" s="84"/>
      <c r="G29" s="85"/>
      <c r="H29" s="85"/>
    </row>
    <row r="30" spans="1:8" x14ac:dyDescent="0.7">
      <c r="B30" s="83">
        <v>76</v>
      </c>
      <c r="C30" s="83"/>
      <c r="D30" s="83"/>
      <c r="E30" s="84" t="s">
        <v>341</v>
      </c>
      <c r="F30" s="84"/>
      <c r="G30" s="85"/>
      <c r="H30" s="85"/>
    </row>
    <row r="31" spans="1:8" x14ac:dyDescent="0.7">
      <c r="B31" s="86"/>
      <c r="C31" s="86">
        <v>7698</v>
      </c>
      <c r="D31" s="86">
        <v>76981</v>
      </c>
      <c r="E31" s="87" t="s">
        <v>342</v>
      </c>
      <c r="F31" s="87"/>
      <c r="G31" s="88"/>
      <c r="H31" s="88"/>
    </row>
    <row r="32" spans="1:8" x14ac:dyDescent="0.7">
      <c r="A32" s="93">
        <v>2024</v>
      </c>
      <c r="B32" s="94"/>
      <c r="C32" s="94"/>
      <c r="D32" s="81"/>
      <c r="E32" s="81"/>
      <c r="F32" s="81"/>
      <c r="G32" s="82"/>
      <c r="H32" s="82"/>
    </row>
    <row r="33" spans="1:8" x14ac:dyDescent="0.7">
      <c r="B33" s="83">
        <v>73</v>
      </c>
      <c r="C33" s="83"/>
      <c r="D33" s="83"/>
      <c r="E33" s="84" t="s">
        <v>337</v>
      </c>
      <c r="F33" s="84"/>
      <c r="G33" s="85"/>
      <c r="H33" s="85"/>
    </row>
    <row r="34" spans="1:8" x14ac:dyDescent="0.7">
      <c r="B34" s="83"/>
      <c r="C34" s="83">
        <v>7302</v>
      </c>
      <c r="D34" s="83"/>
      <c r="E34" s="84" t="s">
        <v>338</v>
      </c>
      <c r="F34" s="84"/>
      <c r="G34" s="85"/>
      <c r="H34" s="85"/>
    </row>
    <row r="35" spans="1:8" x14ac:dyDescent="0.7">
      <c r="B35" s="83"/>
      <c r="C35" s="83"/>
      <c r="D35" s="83">
        <v>73023</v>
      </c>
      <c r="E35" s="84" t="s">
        <v>339</v>
      </c>
      <c r="F35" s="84"/>
      <c r="G35" s="85"/>
      <c r="H35" s="85"/>
    </row>
    <row r="36" spans="1:8" x14ac:dyDescent="0.7">
      <c r="B36" s="83"/>
      <c r="C36" s="83"/>
      <c r="D36" s="83">
        <v>73024</v>
      </c>
      <c r="E36" s="84" t="s">
        <v>340</v>
      </c>
      <c r="F36" s="84"/>
      <c r="G36" s="85"/>
      <c r="H36" s="85"/>
    </row>
    <row r="37" spans="1:8" x14ac:dyDescent="0.7">
      <c r="B37" s="83">
        <v>76</v>
      </c>
      <c r="C37" s="83"/>
      <c r="D37" s="83"/>
      <c r="E37" s="84" t="s">
        <v>341</v>
      </c>
      <c r="F37" s="84"/>
      <c r="G37" s="85"/>
      <c r="H37" s="85"/>
    </row>
    <row r="38" spans="1:8" x14ac:dyDescent="0.7">
      <c r="A38" s="95"/>
      <c r="B38" s="86"/>
      <c r="C38" s="86">
        <v>7698</v>
      </c>
      <c r="D38" s="86">
        <v>76981</v>
      </c>
      <c r="E38" s="87" t="s">
        <v>342</v>
      </c>
      <c r="F38" s="87"/>
      <c r="G38" s="88"/>
      <c r="H38" s="88"/>
    </row>
    <row r="40" spans="1:8" x14ac:dyDescent="0.7">
      <c r="A40" s="138" t="s">
        <v>432</v>
      </c>
    </row>
  </sheetData>
  <mergeCells count="1">
    <mergeCell ref="E3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5"/>
  <sheetViews>
    <sheetView topLeftCell="A5" zoomScale="115" zoomScaleNormal="115" workbookViewId="0">
      <selection activeCell="B12" sqref="B12"/>
    </sheetView>
  </sheetViews>
  <sheetFormatPr defaultRowHeight="12.5" x14ac:dyDescent="0.25"/>
  <cols>
    <col min="1" max="1" width="44.90625" customWidth="1"/>
    <col min="12" max="12" width="10.36328125" customWidth="1"/>
  </cols>
  <sheetData>
    <row r="1" spans="1:12" s="139" customFormat="1" ht="27.65" customHeight="1" x14ac:dyDescent="0.25">
      <c r="A1" s="163" t="s">
        <v>471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2" ht="25.5" x14ac:dyDescent="0.25">
      <c r="A2" s="164" t="s">
        <v>396</v>
      </c>
      <c r="B2" s="164">
        <v>2014</v>
      </c>
      <c r="C2" s="164">
        <v>2015</v>
      </c>
      <c r="D2" s="164">
        <v>2016</v>
      </c>
      <c r="E2" s="164">
        <v>2017</v>
      </c>
      <c r="F2" s="164">
        <v>2018</v>
      </c>
      <c r="G2" s="164">
        <v>2019</v>
      </c>
      <c r="H2" s="164">
        <v>2020</v>
      </c>
      <c r="I2" s="164">
        <v>2021</v>
      </c>
      <c r="J2" s="164">
        <v>2022</v>
      </c>
      <c r="K2" s="164">
        <v>2023</v>
      </c>
      <c r="L2" s="164">
        <v>2024</v>
      </c>
    </row>
    <row r="3" spans="1:12" ht="24.5" x14ac:dyDescent="1">
      <c r="A3" s="313" t="s">
        <v>473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ht="24.5" x14ac:dyDescent="1">
      <c r="A4" s="313" t="s">
        <v>474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24.5" x14ac:dyDescent="1">
      <c r="A5" s="313" t="s">
        <v>475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</row>
    <row r="6" spans="1:12" ht="24.5" x14ac:dyDescent="1">
      <c r="A6" s="313" t="s">
        <v>472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</row>
    <row r="7" spans="1:12" ht="24.5" x14ac:dyDescent="1">
      <c r="A7" s="313" t="s">
        <v>476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24.5" x14ac:dyDescent="1">
      <c r="A8" s="313" t="s">
        <v>477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</row>
    <row r="9" spans="1:12" ht="24.5" x14ac:dyDescent="1">
      <c r="A9" s="313" t="s">
        <v>478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</row>
    <row r="10" spans="1:12" ht="24.5" x14ac:dyDescent="1">
      <c r="A10" s="313" t="s">
        <v>479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</row>
    <row r="11" spans="1:12" ht="24.5" x14ac:dyDescent="1">
      <c r="A11" s="313" t="s">
        <v>482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</row>
    <row r="12" spans="1:12" ht="24.5" x14ac:dyDescent="1">
      <c r="A12" s="313" t="s">
        <v>483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</row>
    <row r="13" spans="1:12" ht="24.5" x14ac:dyDescent="1">
      <c r="A13" s="313" t="s">
        <v>480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</row>
    <row r="14" spans="1:12" ht="24.5" x14ac:dyDescent="1">
      <c r="A14" s="313" t="s">
        <v>481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</row>
    <row r="15" spans="1:12" ht="24.5" x14ac:dyDescent="1">
      <c r="A15" s="313" t="s">
        <v>484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</row>
    <row r="16" spans="1:12" ht="24.5" x14ac:dyDescent="1">
      <c r="A16" s="313" t="s">
        <v>485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</row>
    <row r="17" spans="1:12" ht="24.5" x14ac:dyDescent="1">
      <c r="A17" s="313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</row>
    <row r="18" spans="1:12" ht="24.5" x14ac:dyDescent="1">
      <c r="A18" s="313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</row>
    <row r="19" spans="1:12" ht="24.5" x14ac:dyDescent="1">
      <c r="A19" s="313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</row>
    <row r="20" spans="1:12" ht="24.5" x14ac:dyDescent="1">
      <c r="A20" s="313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</row>
    <row r="21" spans="1:12" ht="15.5" x14ac:dyDescent="0.35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</row>
    <row r="22" spans="1:12" ht="15.5" x14ac:dyDescent="0.35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</row>
    <row r="23" spans="1:12" ht="15.5" x14ac:dyDescent="0.35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</row>
    <row r="24" spans="1:12" ht="15.5" x14ac:dyDescent="0.35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</row>
    <row r="25" spans="1:12" ht="17.399999999999999" customHeight="1" x14ac:dyDescent="0.35">
      <c r="A25" s="162" t="s">
        <v>486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</row>
  </sheetData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G21"/>
  <sheetViews>
    <sheetView workbookViewId="0">
      <selection activeCell="I52" sqref="I52"/>
    </sheetView>
  </sheetViews>
  <sheetFormatPr defaultColWidth="8.90625" defaultRowHeight="23" x14ac:dyDescent="0.25"/>
  <cols>
    <col min="1" max="1" width="10.1796875" style="211" customWidth="1"/>
    <col min="2" max="7" width="12.81640625" style="211" customWidth="1"/>
    <col min="8" max="16384" width="8.90625" style="211"/>
  </cols>
  <sheetData>
    <row r="3" spans="1:7" x14ac:dyDescent="0.25">
      <c r="B3" s="211" t="s">
        <v>488</v>
      </c>
    </row>
    <row r="4" spans="1:7" ht="36" customHeight="1" thickBot="1" x14ac:dyDescent="0.3">
      <c r="A4" s="293" t="s">
        <v>489</v>
      </c>
      <c r="B4" s="293"/>
      <c r="C4" s="293"/>
      <c r="D4" s="293"/>
      <c r="E4" s="293"/>
      <c r="F4" s="293"/>
      <c r="G4" s="293"/>
    </row>
    <row r="5" spans="1:7" ht="23.5" thickBot="1" x14ac:dyDescent="0.3">
      <c r="A5" s="212"/>
      <c r="B5" s="294" t="s">
        <v>490</v>
      </c>
      <c r="C5" s="295"/>
      <c r="D5" s="296"/>
      <c r="E5" s="294" t="s">
        <v>491</v>
      </c>
      <c r="F5" s="295"/>
      <c r="G5" s="296"/>
    </row>
    <row r="6" spans="1:7" ht="47.4" customHeight="1" thickBot="1" x14ac:dyDescent="0.3">
      <c r="A6" s="213" t="s">
        <v>492</v>
      </c>
      <c r="B6" s="297"/>
      <c r="C6" s="298"/>
      <c r="D6" s="299"/>
      <c r="E6" s="297"/>
      <c r="F6" s="298"/>
      <c r="G6" s="299"/>
    </row>
    <row r="7" spans="1:7" ht="23.5" thickBot="1" x14ac:dyDescent="0.3">
      <c r="A7" s="214" t="s">
        <v>345</v>
      </c>
      <c r="B7" s="215" t="s">
        <v>493</v>
      </c>
      <c r="C7" s="216" t="s">
        <v>494</v>
      </c>
      <c r="D7" s="217" t="s">
        <v>127</v>
      </c>
      <c r="E7" s="215" t="s">
        <v>493</v>
      </c>
      <c r="F7" s="216" t="s">
        <v>494</v>
      </c>
      <c r="G7" s="217" t="s">
        <v>127</v>
      </c>
    </row>
    <row r="8" spans="1:7" x14ac:dyDescent="0.25">
      <c r="A8" s="218">
        <v>2014</v>
      </c>
      <c r="B8" s="219"/>
      <c r="C8" s="220"/>
      <c r="D8" s="221"/>
      <c r="E8" s="219"/>
      <c r="F8" s="220"/>
      <c r="G8" s="221"/>
    </row>
    <row r="9" spans="1:7" x14ac:dyDescent="0.25">
      <c r="A9" s="222">
        <v>2015</v>
      </c>
      <c r="B9" s="223"/>
      <c r="C9" s="224"/>
      <c r="D9" s="225"/>
      <c r="E9" s="226"/>
      <c r="F9" s="227"/>
      <c r="G9" s="225"/>
    </row>
    <row r="10" spans="1:7" x14ac:dyDescent="0.25">
      <c r="A10" s="222">
        <v>2016</v>
      </c>
      <c r="B10" s="226"/>
      <c r="C10" s="227"/>
      <c r="D10" s="225"/>
      <c r="E10" s="226"/>
      <c r="F10" s="227"/>
      <c r="G10" s="225"/>
    </row>
    <row r="11" spans="1:7" x14ac:dyDescent="0.25">
      <c r="A11" s="222">
        <v>2017</v>
      </c>
      <c r="B11" s="226"/>
      <c r="C11" s="227"/>
      <c r="D11" s="225"/>
      <c r="E11" s="226"/>
      <c r="F11" s="227"/>
      <c r="G11" s="225"/>
    </row>
    <row r="12" spans="1:7" x14ac:dyDescent="0.25">
      <c r="A12" s="222">
        <v>2018</v>
      </c>
      <c r="B12" s="226"/>
      <c r="C12" s="227"/>
      <c r="D12" s="225"/>
      <c r="E12" s="226"/>
      <c r="F12" s="227"/>
      <c r="G12" s="225"/>
    </row>
    <row r="13" spans="1:7" x14ac:dyDescent="0.25">
      <c r="A13" s="222">
        <v>2019</v>
      </c>
      <c r="B13" s="226"/>
      <c r="C13" s="227"/>
      <c r="D13" s="225"/>
      <c r="E13" s="226"/>
      <c r="F13" s="227"/>
      <c r="G13" s="225"/>
    </row>
    <row r="14" spans="1:7" x14ac:dyDescent="0.25">
      <c r="A14" s="222">
        <v>2020</v>
      </c>
      <c r="B14" s="226"/>
      <c r="C14" s="227"/>
      <c r="D14" s="225"/>
      <c r="E14" s="226"/>
      <c r="F14" s="227"/>
      <c r="G14" s="225"/>
    </row>
    <row r="15" spans="1:7" x14ac:dyDescent="0.25">
      <c r="A15" s="222">
        <v>2021</v>
      </c>
      <c r="B15" s="226"/>
      <c r="C15" s="227"/>
      <c r="D15" s="225"/>
      <c r="E15" s="226"/>
      <c r="F15" s="227"/>
      <c r="G15" s="225"/>
    </row>
    <row r="16" spans="1:7" x14ac:dyDescent="0.25">
      <c r="A16" s="222">
        <v>2022</v>
      </c>
      <c r="B16" s="226"/>
      <c r="C16" s="227"/>
      <c r="D16" s="225"/>
      <c r="E16" s="226"/>
      <c r="F16" s="227"/>
      <c r="G16" s="225"/>
    </row>
    <row r="17" spans="1:7" x14ac:dyDescent="0.25">
      <c r="A17" s="222">
        <v>2023</v>
      </c>
      <c r="B17" s="226"/>
      <c r="C17" s="227"/>
      <c r="D17" s="225"/>
      <c r="E17" s="226"/>
      <c r="F17" s="227"/>
      <c r="G17" s="225"/>
    </row>
    <row r="18" spans="1:7" x14ac:dyDescent="0.25">
      <c r="A18" s="222">
        <v>2024</v>
      </c>
      <c r="B18" s="226"/>
      <c r="C18" s="227"/>
      <c r="D18" s="225"/>
      <c r="E18" s="226"/>
      <c r="F18" s="227"/>
      <c r="G18" s="225"/>
    </row>
    <row r="19" spans="1:7" ht="23.5" thickBot="1" x14ac:dyDescent="0.3">
      <c r="A19" s="228">
        <v>2025</v>
      </c>
      <c r="B19" s="229"/>
      <c r="C19" s="230"/>
      <c r="D19" s="231"/>
      <c r="E19" s="229"/>
      <c r="F19" s="230"/>
      <c r="G19" s="231"/>
    </row>
    <row r="21" spans="1:7" x14ac:dyDescent="0.35">
      <c r="A21" s="162" t="s">
        <v>508</v>
      </c>
    </row>
  </sheetData>
  <mergeCells count="5">
    <mergeCell ref="A4:G4"/>
    <mergeCell ref="B5:D5"/>
    <mergeCell ref="E5:G5"/>
    <mergeCell ref="B6:D6"/>
    <mergeCell ref="E6:G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workbookViewId="0">
      <selection activeCell="I52" sqref="I52"/>
    </sheetView>
  </sheetViews>
  <sheetFormatPr defaultColWidth="8.90625" defaultRowHeight="23" x14ac:dyDescent="0.25"/>
  <cols>
    <col min="1" max="1" width="14.453125" style="211" customWidth="1"/>
    <col min="2" max="11" width="13.81640625" style="211" customWidth="1"/>
    <col min="12" max="16384" width="8.90625" style="211"/>
  </cols>
  <sheetData>
    <row r="1" spans="1:11" ht="36" customHeight="1" thickBot="1" x14ac:dyDescent="0.3">
      <c r="A1" s="293" t="s">
        <v>495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</row>
    <row r="2" spans="1:11" ht="30" customHeight="1" thickBot="1" x14ac:dyDescent="0.3">
      <c r="A2" s="232" t="s">
        <v>496</v>
      </c>
      <c r="B2" s="302" t="s">
        <v>497</v>
      </c>
      <c r="C2" s="303"/>
      <c r="D2" s="302" t="s">
        <v>498</v>
      </c>
      <c r="E2" s="303"/>
      <c r="F2" s="302" t="s">
        <v>499</v>
      </c>
      <c r="G2" s="303"/>
      <c r="H2" s="302" t="s">
        <v>500</v>
      </c>
      <c r="I2" s="303"/>
      <c r="J2" s="302" t="s">
        <v>501</v>
      </c>
      <c r="K2" s="303"/>
    </row>
    <row r="3" spans="1:11" ht="89.5" customHeight="1" thickBot="1" x14ac:dyDescent="0.3">
      <c r="A3" s="233" t="s">
        <v>502</v>
      </c>
      <c r="B3" s="300" t="s">
        <v>503</v>
      </c>
      <c r="C3" s="301"/>
      <c r="D3" s="300" t="s">
        <v>504</v>
      </c>
      <c r="E3" s="301"/>
      <c r="F3" s="300" t="s">
        <v>505</v>
      </c>
      <c r="G3" s="301"/>
      <c r="H3" s="300" t="s">
        <v>506</v>
      </c>
      <c r="I3" s="301"/>
      <c r="J3" s="300" t="s">
        <v>507</v>
      </c>
      <c r="K3" s="301"/>
    </row>
    <row r="4" spans="1:11" x14ac:dyDescent="0.25">
      <c r="A4" s="234"/>
      <c r="B4" s="235" t="s">
        <v>127</v>
      </c>
      <c r="C4" s="236" t="s">
        <v>83</v>
      </c>
      <c r="D4" s="235" t="s">
        <v>127</v>
      </c>
      <c r="E4" s="236" t="s">
        <v>83</v>
      </c>
      <c r="F4" s="235" t="s">
        <v>127</v>
      </c>
      <c r="G4" s="236" t="s">
        <v>83</v>
      </c>
      <c r="H4" s="235" t="s">
        <v>127</v>
      </c>
      <c r="I4" s="236" t="s">
        <v>83</v>
      </c>
      <c r="J4" s="235" t="s">
        <v>127</v>
      </c>
      <c r="K4" s="236" t="s">
        <v>83</v>
      </c>
    </row>
    <row r="5" spans="1:11" x14ac:dyDescent="0.25">
      <c r="A5" s="237">
        <v>2014</v>
      </c>
      <c r="B5" s="219"/>
      <c r="C5" s="221"/>
      <c r="D5" s="219"/>
      <c r="E5" s="221"/>
      <c r="F5" s="219"/>
      <c r="G5" s="221"/>
      <c r="H5" s="219"/>
      <c r="I5" s="221"/>
      <c r="J5" s="219"/>
      <c r="K5" s="221"/>
    </row>
    <row r="6" spans="1:11" x14ac:dyDescent="0.25">
      <c r="A6" s="222">
        <v>2015</v>
      </c>
      <c r="B6" s="226"/>
      <c r="C6" s="225"/>
      <c r="D6" s="226"/>
      <c r="E6" s="225"/>
      <c r="F6" s="226"/>
      <c r="G6" s="225"/>
      <c r="H6" s="226"/>
      <c r="I6" s="225"/>
      <c r="J6" s="226"/>
      <c r="K6" s="225"/>
    </row>
    <row r="7" spans="1:11" x14ac:dyDescent="0.25">
      <c r="A7" s="222">
        <v>2016</v>
      </c>
      <c r="B7" s="226"/>
      <c r="C7" s="225"/>
      <c r="D7" s="226"/>
      <c r="E7" s="225"/>
      <c r="F7" s="226"/>
      <c r="G7" s="225"/>
      <c r="H7" s="226"/>
      <c r="I7" s="225"/>
      <c r="J7" s="226"/>
      <c r="K7" s="225"/>
    </row>
    <row r="8" spans="1:11" x14ac:dyDescent="0.25">
      <c r="A8" s="222">
        <v>2017</v>
      </c>
      <c r="B8" s="226"/>
      <c r="C8" s="225"/>
      <c r="D8" s="226"/>
      <c r="E8" s="225"/>
      <c r="F8" s="226"/>
      <c r="G8" s="225"/>
      <c r="H8" s="226"/>
      <c r="I8" s="225"/>
      <c r="J8" s="226"/>
      <c r="K8" s="225"/>
    </row>
    <row r="9" spans="1:11" x14ac:dyDescent="0.25">
      <c r="A9" s="222">
        <v>2018</v>
      </c>
      <c r="B9" s="226"/>
      <c r="C9" s="225"/>
      <c r="D9" s="226"/>
      <c r="E9" s="225"/>
      <c r="F9" s="226"/>
      <c r="G9" s="225"/>
      <c r="H9" s="226"/>
      <c r="I9" s="225"/>
      <c r="J9" s="226"/>
      <c r="K9" s="225"/>
    </row>
    <row r="10" spans="1:11" x14ac:dyDescent="0.25">
      <c r="A10" s="222">
        <v>2019</v>
      </c>
      <c r="B10" s="226"/>
      <c r="C10" s="225"/>
      <c r="D10" s="226"/>
      <c r="E10" s="225"/>
      <c r="F10" s="226"/>
      <c r="G10" s="225"/>
      <c r="H10" s="226"/>
      <c r="I10" s="225"/>
      <c r="J10" s="226"/>
      <c r="K10" s="225"/>
    </row>
    <row r="11" spans="1:11" x14ac:dyDescent="0.25">
      <c r="A11" s="222">
        <v>2020</v>
      </c>
      <c r="B11" s="226"/>
      <c r="C11" s="225"/>
      <c r="D11" s="226"/>
      <c r="E11" s="225"/>
      <c r="F11" s="226"/>
      <c r="G11" s="225"/>
      <c r="H11" s="226"/>
      <c r="I11" s="225"/>
      <c r="J11" s="226"/>
      <c r="K11" s="225"/>
    </row>
    <row r="12" spans="1:11" x14ac:dyDescent="0.25">
      <c r="A12" s="222">
        <v>2021</v>
      </c>
      <c r="B12" s="226"/>
      <c r="C12" s="225"/>
      <c r="D12" s="226"/>
      <c r="E12" s="225"/>
      <c r="F12" s="226"/>
      <c r="G12" s="225"/>
      <c r="H12" s="226"/>
      <c r="I12" s="225"/>
      <c r="J12" s="226"/>
      <c r="K12" s="225"/>
    </row>
    <row r="13" spans="1:11" x14ac:dyDescent="0.25">
      <c r="A13" s="222">
        <v>2022</v>
      </c>
      <c r="B13" s="226"/>
      <c r="C13" s="225"/>
      <c r="D13" s="226"/>
      <c r="E13" s="225"/>
      <c r="F13" s="226"/>
      <c r="G13" s="225"/>
      <c r="H13" s="226"/>
      <c r="I13" s="225"/>
      <c r="J13" s="226"/>
      <c r="K13" s="225"/>
    </row>
    <row r="14" spans="1:11" x14ac:dyDescent="0.25">
      <c r="A14" s="222">
        <v>2023</v>
      </c>
      <c r="B14" s="226"/>
      <c r="C14" s="225"/>
      <c r="D14" s="226"/>
      <c r="E14" s="225"/>
      <c r="F14" s="226"/>
      <c r="G14" s="225"/>
      <c r="H14" s="226"/>
      <c r="I14" s="225"/>
      <c r="J14" s="226"/>
      <c r="K14" s="225"/>
    </row>
    <row r="15" spans="1:11" x14ac:dyDescent="0.25">
      <c r="A15" s="222">
        <v>2024</v>
      </c>
      <c r="B15" s="226"/>
      <c r="C15" s="225"/>
      <c r="D15" s="226"/>
      <c r="E15" s="225"/>
      <c r="F15" s="226"/>
      <c r="G15" s="225"/>
      <c r="H15" s="226"/>
      <c r="I15" s="225"/>
      <c r="J15" s="226"/>
      <c r="K15" s="225"/>
    </row>
    <row r="16" spans="1:11" ht="23.5" thickBot="1" x14ac:dyDescent="0.3">
      <c r="A16" s="228">
        <v>2025</v>
      </c>
      <c r="B16" s="229"/>
      <c r="C16" s="231"/>
      <c r="D16" s="229"/>
      <c r="E16" s="231"/>
      <c r="F16" s="229"/>
      <c r="G16" s="231"/>
      <c r="H16" s="229"/>
      <c r="I16" s="231"/>
      <c r="J16" s="229"/>
      <c r="K16" s="231"/>
    </row>
    <row r="18" spans="1:1" x14ac:dyDescent="0.35">
      <c r="A18" s="162" t="s">
        <v>508</v>
      </c>
    </row>
  </sheetData>
  <mergeCells count="11"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6"/>
  <sheetViews>
    <sheetView topLeftCell="A24" workbookViewId="0">
      <selection activeCell="I52" sqref="I52"/>
    </sheetView>
  </sheetViews>
  <sheetFormatPr defaultRowHeight="14.5" x14ac:dyDescent="0.35"/>
  <cols>
    <col min="1" max="1" width="8.7265625" style="185"/>
    <col min="2" max="2" width="13.1796875" style="185" customWidth="1"/>
    <col min="3" max="16384" width="8.7265625" style="185"/>
  </cols>
  <sheetData>
    <row r="1" spans="1:9" s="181" customFormat="1" ht="25.5" x14ac:dyDescent="0.85">
      <c r="A1" s="180" t="s">
        <v>21</v>
      </c>
      <c r="B1" s="311" t="s">
        <v>447</v>
      </c>
      <c r="C1" s="311"/>
      <c r="D1" s="311"/>
      <c r="E1" s="311"/>
      <c r="F1" s="311"/>
      <c r="G1" s="311"/>
      <c r="H1" s="311"/>
      <c r="I1" s="311"/>
    </row>
    <row r="2" spans="1:9" s="181" customFormat="1" ht="20.5" x14ac:dyDescent="0.85">
      <c r="A2" s="182"/>
      <c r="B2" s="183" t="s">
        <v>448</v>
      </c>
    </row>
    <row r="3" spans="1:9" s="181" customFormat="1" ht="20.5" x14ac:dyDescent="0.85">
      <c r="A3" s="184" t="s">
        <v>383</v>
      </c>
      <c r="B3" s="182" t="s">
        <v>449</v>
      </c>
    </row>
    <row r="4" spans="1:9" s="181" customFormat="1" ht="20.5" x14ac:dyDescent="0.85">
      <c r="A4" s="184" t="s">
        <v>353</v>
      </c>
      <c r="B4" s="182" t="s">
        <v>450</v>
      </c>
    </row>
    <row r="5" spans="1:9" s="181" customFormat="1" ht="20.5" x14ac:dyDescent="0.85">
      <c r="A5" s="184" t="s">
        <v>354</v>
      </c>
      <c r="B5" s="182" t="s">
        <v>451</v>
      </c>
    </row>
    <row r="6" spans="1:9" s="181" customFormat="1" ht="20.5" x14ac:dyDescent="0.85">
      <c r="A6" s="184" t="s">
        <v>355</v>
      </c>
      <c r="B6" s="182" t="s">
        <v>452</v>
      </c>
    </row>
    <row r="7" spans="1:9" s="181" customFormat="1" ht="20.5" x14ac:dyDescent="0.85">
      <c r="A7" s="184" t="s">
        <v>356</v>
      </c>
      <c r="B7" s="182" t="s">
        <v>453</v>
      </c>
    </row>
    <row r="10" spans="1:9" ht="20.5" x14ac:dyDescent="0.85">
      <c r="A10" s="184" t="s">
        <v>383</v>
      </c>
      <c r="B10" s="182" t="s">
        <v>449</v>
      </c>
      <c r="C10" s="181"/>
      <c r="D10" s="181"/>
      <c r="E10" s="181"/>
    </row>
    <row r="11" spans="1:9" ht="19" x14ac:dyDescent="0.35">
      <c r="A11" s="304" t="s">
        <v>454</v>
      </c>
      <c r="B11" s="304" t="s">
        <v>455</v>
      </c>
      <c r="C11" s="305" t="s">
        <v>456</v>
      </c>
      <c r="D11" s="305"/>
      <c r="E11" s="305"/>
      <c r="F11" s="305"/>
      <c r="G11" s="305"/>
      <c r="H11" s="305"/>
      <c r="I11" s="305"/>
    </row>
    <row r="12" spans="1:9" ht="19" x14ac:dyDescent="0.35">
      <c r="A12" s="304"/>
      <c r="B12" s="304"/>
      <c r="C12" s="304" t="s">
        <v>457</v>
      </c>
      <c r="D12" s="304" t="s">
        <v>458</v>
      </c>
      <c r="E12" s="304"/>
      <c r="F12" s="304" t="s">
        <v>459</v>
      </c>
      <c r="G12" s="304"/>
      <c r="H12" s="304" t="s">
        <v>460</v>
      </c>
      <c r="I12" s="312"/>
    </row>
    <row r="13" spans="1:9" ht="19" x14ac:dyDescent="0.35">
      <c r="A13" s="304"/>
      <c r="B13" s="304"/>
      <c r="C13" s="304"/>
      <c r="D13" s="186" t="s">
        <v>83</v>
      </c>
      <c r="E13" s="186" t="s">
        <v>127</v>
      </c>
      <c r="F13" s="186" t="s">
        <v>83</v>
      </c>
      <c r="G13" s="186" t="s">
        <v>127</v>
      </c>
      <c r="H13" s="186" t="s">
        <v>83</v>
      </c>
      <c r="I13" s="186" t="s">
        <v>127</v>
      </c>
    </row>
    <row r="14" spans="1:9" ht="19" x14ac:dyDescent="0.35">
      <c r="A14" s="187"/>
      <c r="B14" s="188"/>
      <c r="C14" s="189"/>
      <c r="D14" s="189"/>
      <c r="E14" s="190"/>
      <c r="F14" s="189"/>
      <c r="G14" s="189"/>
      <c r="H14" s="189"/>
      <c r="I14" s="189"/>
    </row>
    <row r="15" spans="1:9" ht="19" x14ac:dyDescent="0.35">
      <c r="A15" s="187"/>
      <c r="B15" s="188"/>
      <c r="C15" s="189"/>
      <c r="D15" s="189"/>
      <c r="E15" s="190"/>
      <c r="F15" s="189"/>
      <c r="G15" s="189"/>
      <c r="H15" s="189"/>
      <c r="I15" s="189"/>
    </row>
    <row r="16" spans="1:9" ht="19" x14ac:dyDescent="0.35">
      <c r="A16" s="187"/>
      <c r="B16" s="188"/>
      <c r="C16" s="189"/>
      <c r="D16" s="189"/>
      <c r="E16" s="190"/>
      <c r="F16" s="189"/>
      <c r="G16" s="189"/>
      <c r="H16" s="189"/>
      <c r="I16" s="189"/>
    </row>
    <row r="17" spans="1:11" ht="20.5" x14ac:dyDescent="0.85">
      <c r="A17" s="184" t="s">
        <v>353</v>
      </c>
      <c r="B17" s="182" t="s">
        <v>450</v>
      </c>
      <c r="C17" s="181"/>
      <c r="D17" s="181"/>
      <c r="E17" s="181"/>
    </row>
    <row r="18" spans="1:11" ht="19" x14ac:dyDescent="0.35">
      <c r="A18" s="306" t="s">
        <v>454</v>
      </c>
      <c r="B18" s="306" t="s">
        <v>455</v>
      </c>
      <c r="C18" s="304" t="s">
        <v>457</v>
      </c>
      <c r="D18" s="304" t="s">
        <v>458</v>
      </c>
      <c r="E18" s="304"/>
      <c r="F18" s="304" t="s">
        <v>459</v>
      </c>
      <c r="G18" s="304"/>
      <c r="H18" s="304" t="s">
        <v>461</v>
      </c>
      <c r="I18" s="308"/>
    </row>
    <row r="19" spans="1:11" ht="19" x14ac:dyDescent="0.35">
      <c r="A19" s="307"/>
      <c r="B19" s="307"/>
      <c r="C19" s="304"/>
      <c r="D19" s="186" t="s">
        <v>83</v>
      </c>
      <c r="E19" s="186" t="s">
        <v>127</v>
      </c>
      <c r="F19" s="186" t="s">
        <v>83</v>
      </c>
      <c r="G19" s="186" t="s">
        <v>127</v>
      </c>
      <c r="H19" s="186" t="s">
        <v>83</v>
      </c>
      <c r="I19" s="186" t="s">
        <v>127</v>
      </c>
    </row>
    <row r="20" spans="1:11" ht="20.5" x14ac:dyDescent="0.35">
      <c r="A20" s="191"/>
      <c r="B20" s="192"/>
      <c r="C20" s="193"/>
      <c r="D20" s="194"/>
      <c r="E20" s="194"/>
      <c r="F20" s="195"/>
      <c r="G20" s="195"/>
      <c r="H20" s="195"/>
      <c r="I20" s="195"/>
    </row>
    <row r="21" spans="1:11" ht="20.5" x14ac:dyDescent="0.35">
      <c r="A21" s="196"/>
      <c r="B21" s="197"/>
      <c r="C21" s="198"/>
      <c r="D21" s="198"/>
      <c r="E21" s="198"/>
      <c r="F21" s="198"/>
      <c r="G21" s="198"/>
      <c r="H21" s="198"/>
      <c r="I21" s="198"/>
    </row>
    <row r="22" spans="1:11" ht="20.5" x14ac:dyDescent="0.35">
      <c r="A22" s="199"/>
      <c r="B22" s="200"/>
      <c r="C22" s="201"/>
      <c r="D22" s="201"/>
      <c r="E22" s="201"/>
      <c r="F22" s="201"/>
      <c r="G22" s="201"/>
      <c r="H22" s="201"/>
      <c r="I22" s="201"/>
    </row>
    <row r="23" spans="1:11" ht="20.5" x14ac:dyDescent="0.85">
      <c r="A23" s="202" t="s">
        <v>354</v>
      </c>
      <c r="B23" s="203" t="s">
        <v>451</v>
      </c>
      <c r="C23" s="181"/>
      <c r="D23" s="181"/>
      <c r="E23" s="181"/>
      <c r="F23" s="181"/>
    </row>
    <row r="24" spans="1:11" ht="19" x14ac:dyDescent="0.35">
      <c r="A24" s="306" t="s">
        <v>454</v>
      </c>
      <c r="B24" s="306" t="s">
        <v>455</v>
      </c>
      <c r="C24" s="304" t="s">
        <v>457</v>
      </c>
      <c r="D24" s="304" t="s">
        <v>458</v>
      </c>
      <c r="E24" s="304"/>
      <c r="F24" s="304" t="s">
        <v>459</v>
      </c>
      <c r="G24" s="304"/>
      <c r="H24" s="304" t="s">
        <v>460</v>
      </c>
      <c r="I24" s="308"/>
      <c r="J24" s="304" t="s">
        <v>462</v>
      </c>
      <c r="K24" s="308"/>
    </row>
    <row r="25" spans="1:11" ht="19" x14ac:dyDescent="0.35">
      <c r="A25" s="307"/>
      <c r="B25" s="307"/>
      <c r="C25" s="304"/>
      <c r="D25" s="186" t="s">
        <v>83</v>
      </c>
      <c r="E25" s="186" t="s">
        <v>127</v>
      </c>
      <c r="F25" s="186" t="s">
        <v>83</v>
      </c>
      <c r="G25" s="186" t="s">
        <v>127</v>
      </c>
      <c r="H25" s="186" t="s">
        <v>83</v>
      </c>
      <c r="I25" s="186" t="s">
        <v>127</v>
      </c>
      <c r="J25" s="186" t="s">
        <v>83</v>
      </c>
      <c r="K25" s="186" t="s">
        <v>127</v>
      </c>
    </row>
    <row r="26" spans="1:11" ht="20.5" x14ac:dyDescent="0.35">
      <c r="A26" s="191"/>
      <c r="B26" s="192"/>
      <c r="C26" s="195"/>
      <c r="D26" s="194"/>
      <c r="E26" s="194"/>
      <c r="F26" s="195"/>
      <c r="G26" s="195"/>
      <c r="H26" s="195"/>
      <c r="I26" s="195"/>
      <c r="J26" s="195"/>
      <c r="K26" s="195"/>
    </row>
    <row r="27" spans="1:11" ht="20.5" x14ac:dyDescent="0.35">
      <c r="A27" s="196"/>
      <c r="B27" s="197"/>
      <c r="C27" s="198"/>
      <c r="D27" s="198"/>
      <c r="E27" s="198"/>
      <c r="F27" s="198"/>
      <c r="G27" s="198"/>
      <c r="H27" s="198"/>
      <c r="I27" s="198"/>
      <c r="J27" s="193"/>
      <c r="K27" s="193"/>
    </row>
    <row r="28" spans="1:11" ht="20.5" x14ac:dyDescent="0.35">
      <c r="A28" s="196"/>
      <c r="B28" s="197"/>
      <c r="C28" s="198"/>
      <c r="D28" s="198"/>
      <c r="E28" s="198"/>
      <c r="F28" s="198"/>
      <c r="G28" s="198"/>
      <c r="H28" s="198"/>
      <c r="I28" s="198"/>
      <c r="J28" s="193"/>
      <c r="K28" s="193"/>
    </row>
    <row r="29" spans="1:11" ht="20.5" x14ac:dyDescent="0.85">
      <c r="A29" s="184" t="s">
        <v>355</v>
      </c>
      <c r="B29" s="182" t="s">
        <v>452</v>
      </c>
      <c r="C29" s="181"/>
    </row>
    <row r="30" spans="1:11" ht="19" x14ac:dyDescent="0.35">
      <c r="A30" s="304" t="s">
        <v>454</v>
      </c>
      <c r="B30" s="304" t="s">
        <v>455</v>
      </c>
      <c r="C30" s="305" t="s">
        <v>463</v>
      </c>
      <c r="D30" s="305"/>
      <c r="E30" s="305"/>
      <c r="F30" s="305"/>
      <c r="G30" s="305" t="s">
        <v>464</v>
      </c>
      <c r="H30" s="305"/>
      <c r="I30" s="305"/>
      <c r="J30" s="305"/>
    </row>
    <row r="31" spans="1:11" ht="17" x14ac:dyDescent="0.35">
      <c r="A31" s="304"/>
      <c r="B31" s="304"/>
      <c r="C31" s="309" t="s">
        <v>465</v>
      </c>
      <c r="D31" s="310"/>
      <c r="E31" s="309" t="s">
        <v>462</v>
      </c>
      <c r="F31" s="310"/>
      <c r="G31" s="309" t="s">
        <v>465</v>
      </c>
      <c r="H31" s="310"/>
      <c r="I31" s="309" t="s">
        <v>462</v>
      </c>
      <c r="J31" s="310"/>
    </row>
    <row r="32" spans="1:11" ht="19" x14ac:dyDescent="0.35">
      <c r="A32" s="304"/>
      <c r="B32" s="304"/>
      <c r="C32" s="186" t="s">
        <v>83</v>
      </c>
      <c r="D32" s="186" t="s">
        <v>127</v>
      </c>
      <c r="E32" s="186" t="s">
        <v>83</v>
      </c>
      <c r="F32" s="186" t="s">
        <v>127</v>
      </c>
      <c r="G32" s="186" t="s">
        <v>83</v>
      </c>
      <c r="H32" s="186" t="s">
        <v>127</v>
      </c>
      <c r="I32" s="186" t="s">
        <v>83</v>
      </c>
      <c r="J32" s="186" t="s">
        <v>127</v>
      </c>
    </row>
    <row r="33" spans="1:10" ht="19" x14ac:dyDescent="0.35">
      <c r="A33" s="191"/>
      <c r="B33" s="204"/>
      <c r="C33" s="194"/>
      <c r="D33" s="194"/>
      <c r="E33" s="194"/>
      <c r="F33" s="194"/>
      <c r="G33" s="194"/>
      <c r="H33" s="194"/>
      <c r="I33" s="194"/>
      <c r="J33" s="194"/>
    </row>
    <row r="34" spans="1:10" ht="19" x14ac:dyDescent="0.35">
      <c r="A34" s="196"/>
      <c r="B34" s="205"/>
      <c r="C34" s="206"/>
      <c r="D34" s="206"/>
      <c r="E34" s="206"/>
      <c r="F34" s="206"/>
      <c r="G34" s="206"/>
      <c r="H34" s="206"/>
      <c r="I34" s="206"/>
      <c r="J34" s="206"/>
    </row>
    <row r="35" spans="1:10" ht="19" x14ac:dyDescent="0.35">
      <c r="A35" s="196"/>
      <c r="B35" s="207"/>
      <c r="C35" s="206"/>
      <c r="D35" s="206"/>
      <c r="E35" s="206"/>
      <c r="F35" s="206"/>
      <c r="G35" s="206"/>
      <c r="H35" s="206"/>
      <c r="I35" s="206"/>
      <c r="J35" s="206"/>
    </row>
    <row r="36" spans="1:10" ht="20.5" x14ac:dyDescent="0.85">
      <c r="A36" s="184" t="s">
        <v>356</v>
      </c>
      <c r="B36" s="182" t="s">
        <v>453</v>
      </c>
      <c r="C36" s="181"/>
      <c r="D36" s="181"/>
      <c r="E36" s="181"/>
      <c r="F36" s="181"/>
      <c r="G36" s="181"/>
      <c r="H36" s="181"/>
    </row>
    <row r="37" spans="1:10" ht="19" x14ac:dyDescent="0.35">
      <c r="A37" s="304" t="s">
        <v>454</v>
      </c>
      <c r="B37" s="304" t="s">
        <v>455</v>
      </c>
      <c r="C37" s="305" t="s">
        <v>466</v>
      </c>
      <c r="D37" s="305"/>
      <c r="E37" s="305"/>
      <c r="F37" s="305"/>
      <c r="G37" s="305"/>
      <c r="H37" s="305"/>
      <c r="I37" s="305"/>
      <c r="J37" s="305"/>
    </row>
    <row r="38" spans="1:10" ht="19" x14ac:dyDescent="0.35">
      <c r="A38" s="304"/>
      <c r="B38" s="304"/>
      <c r="C38" s="306" t="s">
        <v>467</v>
      </c>
      <c r="D38" s="304" t="s">
        <v>468</v>
      </c>
      <c r="E38" s="304" t="s">
        <v>458</v>
      </c>
      <c r="F38" s="304"/>
      <c r="G38" s="305" t="s">
        <v>469</v>
      </c>
      <c r="H38" s="305"/>
      <c r="I38" s="305" t="s">
        <v>470</v>
      </c>
      <c r="J38" s="305"/>
    </row>
    <row r="39" spans="1:10" ht="19" x14ac:dyDescent="0.35">
      <c r="A39" s="304"/>
      <c r="B39" s="304"/>
      <c r="C39" s="307"/>
      <c r="D39" s="304"/>
      <c r="E39" s="186" t="s">
        <v>83</v>
      </c>
      <c r="F39" s="186" t="s">
        <v>127</v>
      </c>
      <c r="G39" s="186" t="s">
        <v>83</v>
      </c>
      <c r="H39" s="186" t="s">
        <v>127</v>
      </c>
      <c r="I39" s="186" t="s">
        <v>83</v>
      </c>
      <c r="J39" s="186" t="s">
        <v>127</v>
      </c>
    </row>
    <row r="40" spans="1:10" ht="19" x14ac:dyDescent="0.8">
      <c r="A40" s="208"/>
      <c r="B40" s="209"/>
      <c r="C40" s="195"/>
      <c r="D40" s="195"/>
      <c r="E40" s="195"/>
      <c r="F40" s="195"/>
      <c r="G40" s="195"/>
      <c r="H40" s="195"/>
      <c r="I40" s="195"/>
      <c r="J40" s="195"/>
    </row>
    <row r="41" spans="1:10" ht="19" x14ac:dyDescent="0.8">
      <c r="A41" s="210"/>
      <c r="B41" s="205"/>
      <c r="C41" s="193"/>
      <c r="D41" s="193"/>
      <c r="E41" s="193"/>
      <c r="F41" s="193"/>
      <c r="G41" s="193"/>
      <c r="H41" s="193"/>
      <c r="I41" s="193"/>
      <c r="J41" s="193"/>
    </row>
    <row r="42" spans="1:10" ht="19" x14ac:dyDescent="0.8">
      <c r="A42" s="210"/>
      <c r="B42" s="205"/>
      <c r="C42" s="193"/>
      <c r="D42" s="193"/>
      <c r="E42" s="193"/>
      <c r="F42" s="193"/>
      <c r="G42" s="193"/>
      <c r="H42" s="193"/>
      <c r="I42" s="193"/>
      <c r="J42" s="193"/>
    </row>
    <row r="46" spans="1:10" ht="15.5" x14ac:dyDescent="0.35">
      <c r="A46" s="162" t="s">
        <v>509</v>
      </c>
    </row>
  </sheetData>
  <mergeCells count="37">
    <mergeCell ref="H18:I18"/>
    <mergeCell ref="B1:I1"/>
    <mergeCell ref="A11:A13"/>
    <mergeCell ref="B11:B13"/>
    <mergeCell ref="C11:I11"/>
    <mergeCell ref="C12:C13"/>
    <mergeCell ref="D12:E12"/>
    <mergeCell ref="F12:G12"/>
    <mergeCell ref="H12:I12"/>
    <mergeCell ref="A18:A19"/>
    <mergeCell ref="B18:B19"/>
    <mergeCell ref="C18:C19"/>
    <mergeCell ref="D18:E18"/>
    <mergeCell ref="F18:G18"/>
    <mergeCell ref="J24:K24"/>
    <mergeCell ref="A30:A32"/>
    <mergeCell ref="B30:B32"/>
    <mergeCell ref="C30:F30"/>
    <mergeCell ref="G30:J30"/>
    <mergeCell ref="C31:D31"/>
    <mergeCell ref="E31:F31"/>
    <mergeCell ref="G31:H31"/>
    <mergeCell ref="I31:J31"/>
    <mergeCell ref="A24:A25"/>
    <mergeCell ref="B24:B25"/>
    <mergeCell ref="C24:C25"/>
    <mergeCell ref="D24:E24"/>
    <mergeCell ref="F24:G24"/>
    <mergeCell ref="H24:I24"/>
    <mergeCell ref="A37:A39"/>
    <mergeCell ref="B37:B39"/>
    <mergeCell ref="C37:J37"/>
    <mergeCell ref="C38:C39"/>
    <mergeCell ref="D38:D39"/>
    <mergeCell ref="E38:F38"/>
    <mergeCell ref="G38:H38"/>
    <mergeCell ref="I38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Info</vt:lpstr>
      <vt:lpstr>Table 1</vt:lpstr>
      <vt:lpstr>Table 1(នា អកត)</vt:lpstr>
      <vt:lpstr>Table 2(នា អកត)</vt:lpstr>
      <vt:lpstr>Table 2</vt:lpstr>
      <vt:lpstr>Table 3</vt:lpstr>
      <vt:lpstr>Table 4 (New)</vt:lpstr>
      <vt:lpstr>Table 4</vt:lpstr>
      <vt:lpstr>Table 5</vt:lpstr>
      <vt:lpstr>Table 6</vt:lpstr>
      <vt:lpstr>Table 7 (មត្តេយ្យសិក្សា)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14- </vt:lpstr>
      <vt:lpstr>Table 15_នា.គឧស</vt:lpstr>
      <vt:lpstr>Table 16_នា.គឧស</vt:lpstr>
      <vt:lpstr>Table 17_នា.គឧស</vt:lpstr>
      <vt:lpstr>Table 18.1_នា.គឧស</vt:lpstr>
      <vt:lpstr>Table 18.2_នា.គឧស</vt:lpstr>
      <vt:lpstr>Table 19.1_នា.គឧស</vt:lpstr>
      <vt:lpstr>Table 19.2_នា.គឧស</vt:lpstr>
      <vt:lpstr>Table 20</vt:lpstr>
      <vt:lpstr>Table 21</vt:lpstr>
      <vt:lpstr>Table 22_កីឡា</vt:lpstr>
      <vt:lpstr>Table 23A ក្រុមប្រឹក្សា</vt:lpstr>
      <vt:lpstr>Table 23B កាយរឹទ្ធិ</vt:lpstr>
      <vt:lpstr>Table 24(NFM)</vt:lpstr>
    </vt:vector>
  </TitlesOfParts>
  <Company>Ministry of Planning.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Mr.HAS BUNTHON</dc:creator>
  <cp:lastModifiedBy>USER</cp:lastModifiedBy>
  <cp:lastPrinted>2026-05-28T03:13:23Z</cp:lastPrinted>
  <dcterms:created xsi:type="dcterms:W3CDTF">2001-07-05T03:58:02Z</dcterms:created>
  <dcterms:modified xsi:type="dcterms:W3CDTF">2026-06-03T08:19:10Z</dcterms:modified>
</cp:coreProperties>
</file>